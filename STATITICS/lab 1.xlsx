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<sst xmlns="http://schemas.openxmlformats.org/spreadsheetml/2006/main" count="54" uniqueCount="30">
  <si>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In a sample of 256 students, average marks is found to be 56 with standard deviation 12.</t>
  </si>
  <si>
    <t xml:space="preserve">Construct </t>
  </si>
  <si>
    <t>i)95% C.I. for Population mean.</t>
  </si>
  <si>
    <t>ii) 92% C.I. for Population mean.</t>
  </si>
  <si>
    <t>iii) confidence interval such that population mean will probably lie.</t>
  </si>
  <si>
    <t xml:space="preserve">Solution:-Here, we have </t>
  </si>
  <si>
    <t xml:space="preserve">Sample size(n) = </t>
  </si>
  <si>
    <t xml:space="preserve">Sample mean (x*) =  </t>
  </si>
  <si>
    <t>Sample SD (s) =</t>
  </si>
  <si>
    <t xml:space="preserve">S.E(x*) = </t>
  </si>
  <si>
    <t xml:space="preserve">For i) 95% C.I. for Population mean </t>
  </si>
  <si>
    <t xml:space="preserve">Here, C.I.(1- α) = </t>
  </si>
  <si>
    <t>α =</t>
  </si>
  <si>
    <t>Zα =</t>
  </si>
  <si>
    <t xml:space="preserve">Here,lower Limit = </t>
  </si>
  <si>
    <t>Upper Limit =</t>
  </si>
  <si>
    <t xml:space="preserve">For ii) 92% C.I. for Population mean </t>
  </si>
  <si>
    <t xml:space="preserve">For iii) For probably lie, we should take </t>
  </si>
  <si>
    <t>Name : Hari Bashyal</t>
  </si>
  <si>
    <t>In a sample of 200 employees, average number of smoker found is 75.</t>
  </si>
  <si>
    <t>i)99% C.I. for Population proportion of smoker.</t>
  </si>
  <si>
    <t>ii) 90% C.I. for Population proportion.</t>
  </si>
  <si>
    <t>iii) confidence interval such that population proportion of smoker certainly lie.</t>
  </si>
  <si>
    <t xml:space="preserve">No. of smoker(x)= </t>
  </si>
  <si>
    <t>Sample proportion (p) =</t>
  </si>
  <si>
    <t xml:space="preserve">For i) 99% C.I. for Population mean </t>
  </si>
  <si>
    <t xml:space="preserve">Here, C.I.(1- a) = </t>
  </si>
  <si>
    <t xml:space="preserve">a = </t>
  </si>
  <si>
    <t>Za =</t>
  </si>
  <si>
    <t>Name : Krishna Raj Gautam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</si>
</sst>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C00000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9" fontId="1" fillId="0" borderId="0" xfId="0" applyNumberFormat="1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zoomScale="109" zoomScaleNormal="109" workbookViewId="0">
      <selection activeCell="D31" sqref="D31"/>
    </sheetView>
  </sheetViews>
  <sheetFormatPr defaultColWidth="10.8333333333333" defaultRowHeight="15.5" outlineLevelCol="6"/>
  <cols>
    <col min="1" max="16384" width="10.8333333333333" style="1"/>
  </cols>
  <sheetData>
    <row r="1" spans="1:7">
      <c r="A1" s="5" t="s">
        <v>0</v>
      </c>
      <c r="B1" s="5"/>
      <c r="C1" s="5"/>
      <c r="D1" s="5"/>
      <c r="E1" s="5"/>
      <c r="F1" s="5"/>
      <c r="G1" s="5"/>
    </row>
    <row r="2" spans="1:7">
      <c r="A2" s="5" t="s">
        <v>1</v>
      </c>
      <c r="B2" s="5" t="s">
        <v>2</v>
      </c>
      <c r="C2" s="5"/>
      <c r="D2" s="5"/>
      <c r="E2" s="5"/>
      <c r="F2" s="5"/>
      <c r="G2" s="5"/>
    </row>
    <row r="3" spans="1:7">
      <c r="A3" s="5"/>
      <c r="B3" s="5" t="s">
        <v>3</v>
      </c>
      <c r="C3" s="5"/>
      <c r="D3" s="5"/>
      <c r="E3" s="5"/>
      <c r="F3" s="5"/>
      <c r="G3" s="5"/>
    </row>
    <row r="4" spans="1:7">
      <c r="A4" s="5"/>
      <c r="B4" s="5" t="s">
        <v>4</v>
      </c>
      <c r="C4" s="5"/>
      <c r="D4" s="5"/>
      <c r="E4" s="5"/>
      <c r="F4" s="5"/>
      <c r="G4" s="5"/>
    </row>
    <row r="6" spans="1:1">
      <c r="A6" s="1" t="s">
        <v>5</v>
      </c>
    </row>
    <row r="7" spans="2:4">
      <c r="B7" s="6" t="s">
        <v>6</v>
      </c>
      <c r="C7" s="6"/>
      <c r="D7" s="2">
        <v>256</v>
      </c>
    </row>
    <row r="8" spans="2:4">
      <c r="B8" s="6" t="s">
        <v>7</v>
      </c>
      <c r="C8" s="6"/>
      <c r="D8" s="2">
        <v>56</v>
      </c>
    </row>
    <row r="9" spans="2:4">
      <c r="B9" s="6" t="s">
        <v>8</v>
      </c>
      <c r="C9" s="6"/>
      <c r="D9" s="2">
        <v>12</v>
      </c>
    </row>
    <row r="10" spans="2:5">
      <c r="B10" s="6" t="s">
        <v>9</v>
      </c>
      <c r="C10" s="6"/>
      <c r="D10" s="2">
        <f>D9/SQRT(D7)</f>
        <v>0.75</v>
      </c>
      <c r="E10" s="1" t="str">
        <f>_xlfn.FORMULATEXT(D10)</f>
        <v>=D9/SQRT(D7)</v>
      </c>
    </row>
    <row r="11" spans="1:3">
      <c r="A11" s="1" t="s">
        <v>10</v>
      </c>
      <c r="B11" s="6"/>
      <c r="C11" s="6"/>
    </row>
    <row r="12" spans="2:4">
      <c r="B12" s="6"/>
      <c r="C12" s="6" t="s">
        <v>11</v>
      </c>
      <c r="D12" s="2">
        <v>0.95</v>
      </c>
    </row>
    <row r="13" spans="2:5">
      <c r="B13" s="6"/>
      <c r="C13" s="6" t="s">
        <v>12</v>
      </c>
      <c r="D13" s="2">
        <f>1-D12</f>
        <v>0.05</v>
      </c>
      <c r="E13" s="1" t="str">
        <f>_xlfn.FORMULATEXT(D13)</f>
        <v>=1-D12</v>
      </c>
    </row>
    <row r="14" spans="2:5">
      <c r="B14" s="6"/>
      <c r="C14" s="6" t="s">
        <v>13</v>
      </c>
      <c r="D14" s="2">
        <f>_xlfn.NORM.S.INV(1-D13/2)</f>
        <v>1.95996398454005</v>
      </c>
      <c r="E14" s="1" t="str">
        <f>_xlfn.FORMULATEXT(D14)</f>
        <v>=NORM.S.INV(1-D13/2)</v>
      </c>
    </row>
    <row r="15" spans="2:5">
      <c r="B15" s="6"/>
      <c r="C15" s="6" t="s">
        <v>14</v>
      </c>
      <c r="D15" s="2">
        <f>D8-D10*D14</f>
        <v>54.530027011595</v>
      </c>
      <c r="E15" s="1" t="str">
        <f t="shared" ref="E15:E16" si="0">_xlfn.FORMULATEXT(D15)</f>
        <v>=D8-D10*D14</v>
      </c>
    </row>
    <row r="16" spans="2:5">
      <c r="B16" s="6"/>
      <c r="C16" s="6" t="s">
        <v>15</v>
      </c>
      <c r="D16" s="2">
        <f>D8+D10*D14</f>
        <v>57.469972988405</v>
      </c>
      <c r="E16" s="1" t="str">
        <f t="shared" si="0"/>
        <v>=D8+D10*D14</v>
      </c>
    </row>
    <row r="17" spans="2:3">
      <c r="B17" s="6"/>
      <c r="C17" s="6"/>
    </row>
    <row r="18" spans="1:3">
      <c r="A18" s="1" t="s">
        <v>16</v>
      </c>
      <c r="B18" s="6"/>
      <c r="C18" s="6"/>
    </row>
    <row r="19" spans="2:4">
      <c r="B19" s="6"/>
      <c r="C19" s="6" t="s">
        <v>11</v>
      </c>
      <c r="D19" s="1">
        <v>0.92</v>
      </c>
    </row>
    <row r="20" spans="2:5">
      <c r="B20" s="6"/>
      <c r="C20" s="6" t="s">
        <v>12</v>
      </c>
      <c r="D20" s="1">
        <f>1-D19</f>
        <v>0.08</v>
      </c>
      <c r="E20" s="1" t="str">
        <f>_xlfn.FORMULATEXT(D20)</f>
        <v>=1-D19</v>
      </c>
    </row>
    <row r="21" spans="2:5">
      <c r="B21" s="6"/>
      <c r="C21" s="6" t="s">
        <v>13</v>
      </c>
      <c r="D21" s="1">
        <f>_xlfn.NORM.S.INV(1-D20/2)</f>
        <v>1.75068607125217</v>
      </c>
      <c r="E21" s="1" t="str">
        <f>_xlfn.FORMULATEXT(D21)</f>
        <v>=NORM.S.INV(1-D20/2)</v>
      </c>
    </row>
    <row r="22" spans="2:5">
      <c r="B22" s="6"/>
      <c r="C22" s="6" t="s">
        <v>14</v>
      </c>
      <c r="D22" s="1">
        <f>D8-D10*D21</f>
        <v>54.6869854465609</v>
      </c>
      <c r="E22" s="1" t="str">
        <f t="shared" ref="E22:E23" si="1">_xlfn.FORMULATEXT(D22)</f>
        <v>=D8-D10*D21</v>
      </c>
    </row>
    <row r="23" spans="2:5">
      <c r="B23" s="6"/>
      <c r="C23" s="6" t="s">
        <v>15</v>
      </c>
      <c r="D23" s="1">
        <f>D8+D10*D21</f>
        <v>57.3130145534391</v>
      </c>
      <c r="E23" s="1" t="str">
        <f t="shared" si="1"/>
        <v>=D8+D10*D21</v>
      </c>
    </row>
    <row r="24" spans="2:3">
      <c r="B24" s="6"/>
      <c r="C24" s="6"/>
    </row>
    <row r="25" spans="1:3">
      <c r="A25" s="1" t="s">
        <v>17</v>
      </c>
      <c r="B25" s="6"/>
      <c r="C25" s="6"/>
    </row>
    <row r="26" spans="2:3">
      <c r="B26" s="6" t="s">
        <v>13</v>
      </c>
      <c r="C26" s="6">
        <v>3</v>
      </c>
    </row>
    <row r="27" spans="2:5">
      <c r="B27" s="6"/>
      <c r="C27" s="6" t="s">
        <v>14</v>
      </c>
      <c r="D27" s="1">
        <f>D8-D10*C26</f>
        <v>53.75</v>
      </c>
      <c r="E27" s="1" t="str">
        <f>_xlfn.FORMULATEXT(D27)</f>
        <v>=D8-D10*C26</v>
      </c>
    </row>
    <row r="28" spans="2:5">
      <c r="B28" s="6"/>
      <c r="C28" s="6" t="s">
        <v>15</v>
      </c>
      <c r="D28" s="1">
        <f>D8+D10*C26</f>
        <v>58.25</v>
      </c>
      <c r="E28" s="1" t="str">
        <f>_xlfn.FORMULATEXT(D28)</f>
        <v>=D8+D10*C26</v>
      </c>
    </row>
    <row r="30" spans="4:4">
      <c r="D30" s="1" t="s">
        <v>18</v>
      </c>
    </row>
  </sheetData>
  <printOptions headings="1" gridLines="1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zoomScale="143" zoomScaleNormal="143" workbookViewId="0">
      <selection activeCell="D12" sqref="D12"/>
    </sheetView>
  </sheetViews>
  <sheetFormatPr defaultColWidth="11.1666666666667" defaultRowHeight="15.5" outlineLevelCol="6"/>
  <sheetData>
    <row r="1" spans="1:7">
      <c r="A1" s="1" t="s">
        <v>19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20</v>
      </c>
      <c r="C2" s="1"/>
      <c r="D2" s="1"/>
      <c r="E2" s="1"/>
      <c r="F2" s="1"/>
      <c r="G2" s="1"/>
    </row>
    <row r="3" spans="1:7">
      <c r="A3" s="1"/>
      <c r="B3" s="1" t="s">
        <v>21</v>
      </c>
      <c r="C3" s="1"/>
      <c r="D3" s="1"/>
      <c r="E3" s="1"/>
      <c r="F3" s="1"/>
      <c r="G3" s="1"/>
    </row>
    <row r="4" spans="1:7">
      <c r="A4" s="1"/>
      <c r="B4" s="1" t="s">
        <v>22</v>
      </c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6">
      <c r="A6" s="1" t="s">
        <v>5</v>
      </c>
      <c r="B6" s="1"/>
      <c r="C6" s="1"/>
      <c r="D6" s="1"/>
      <c r="E6" s="1"/>
      <c r="F6" s="1"/>
    </row>
    <row r="7" spans="1:6">
      <c r="A7" s="1"/>
      <c r="B7" s="1" t="s">
        <v>6</v>
      </c>
      <c r="C7" s="1"/>
      <c r="D7" s="2">
        <v>256</v>
      </c>
      <c r="E7" s="1"/>
      <c r="F7" s="1"/>
    </row>
    <row r="8" spans="1:6">
      <c r="A8" s="1"/>
      <c r="B8" s="1" t="s">
        <v>23</v>
      </c>
      <c r="C8" s="1"/>
      <c r="D8" s="2">
        <v>75</v>
      </c>
      <c r="E8" s="1"/>
      <c r="F8" s="1"/>
    </row>
    <row r="9" spans="1:6">
      <c r="A9" s="1"/>
      <c r="B9" s="1" t="s">
        <v>24</v>
      </c>
      <c r="C9" s="1"/>
      <c r="D9" s="2">
        <f>D8/D7</f>
        <v>0.29296875</v>
      </c>
      <c r="E9" s="3" t="str">
        <f>_xlfn.FORMULATEXT(D9)</f>
        <v>=D8/D7</v>
      </c>
      <c r="F9" s="1"/>
    </row>
    <row r="10" spans="1:6">
      <c r="A10" s="1"/>
      <c r="B10" s="1" t="s">
        <v>9</v>
      </c>
      <c r="C10" s="1"/>
      <c r="D10" s="2">
        <f>1-D9</f>
        <v>0.70703125</v>
      </c>
      <c r="E10" s="3" t="str">
        <f>_xlfn.FORMULATEXT(D10)</f>
        <v>=1-D9</v>
      </c>
      <c r="F10" s="1"/>
    </row>
    <row r="11" spans="1:6">
      <c r="A11" s="1" t="s">
        <v>25</v>
      </c>
      <c r="B11" s="1"/>
      <c r="C11" s="1"/>
      <c r="D11" s="1"/>
      <c r="E11" s="3"/>
      <c r="F11" s="1"/>
    </row>
    <row r="12" spans="1:6">
      <c r="A12" s="1"/>
      <c r="B12" s="1" t="s">
        <v>26</v>
      </c>
      <c r="C12" s="1"/>
      <c r="D12" s="4">
        <v>0.99</v>
      </c>
      <c r="E12" s="3"/>
      <c r="F12" s="1"/>
    </row>
    <row r="13" spans="1:6">
      <c r="A13" s="1"/>
      <c r="B13" s="1"/>
      <c r="C13" s="1" t="s">
        <v>27</v>
      </c>
      <c r="D13" s="2">
        <f>1-D12</f>
        <v>0.01</v>
      </c>
      <c r="E13" s="3" t="str">
        <f>_xlfn.FORMULATEXT(D13)</f>
        <v>=1-D12</v>
      </c>
      <c r="F13" s="1"/>
    </row>
    <row r="14" spans="1:6">
      <c r="A14" s="1"/>
      <c r="B14" s="1"/>
      <c r="C14" s="1" t="s">
        <v>28</v>
      </c>
      <c r="D14" s="2">
        <f>_xlfn.NORM.S.INV(1-D13/2)</f>
        <v>2.5758293035489</v>
      </c>
      <c r="E14" s="3" t="str">
        <f>_xlfn.FORMULATEXT(D14)</f>
        <v>=NORM.S.INV(1-D13/2)</v>
      </c>
      <c r="F14" s="1"/>
    </row>
    <row r="15" spans="1:6">
      <c r="A15" s="1"/>
      <c r="B15" s="1" t="s">
        <v>14</v>
      </c>
      <c r="C15" s="1"/>
      <c r="D15" s="2">
        <f>D8-D10*D14</f>
        <v>73.1788081877252</v>
      </c>
      <c r="E15" s="3" t="str">
        <f t="shared" ref="E15:E16" si="0">_xlfn.FORMULATEXT(D15)</f>
        <v>=D8-D10*D14</v>
      </c>
      <c r="F15" s="1"/>
    </row>
    <row r="16" spans="1:6">
      <c r="A16" s="1"/>
      <c r="B16" s="1" t="s">
        <v>15</v>
      </c>
      <c r="C16" s="1"/>
      <c r="D16" s="2">
        <f>D8+D10*D14</f>
        <v>76.8211918122748</v>
      </c>
      <c r="E16" s="3" t="str">
        <f t="shared" si="0"/>
        <v>=D8+D10*D14</v>
      </c>
      <c r="F16" s="1"/>
    </row>
    <row r="17" spans="1:6">
      <c r="A17" s="1"/>
      <c r="B17" s="1"/>
      <c r="C17" s="1"/>
      <c r="D17" s="1"/>
      <c r="E17" s="1"/>
      <c r="F17" s="1"/>
    </row>
    <row r="18" spans="1:6">
      <c r="A18" s="1" t="s">
        <v>16</v>
      </c>
      <c r="B18" s="1"/>
      <c r="C18" s="1"/>
      <c r="D18" s="1"/>
      <c r="E18" s="3"/>
      <c r="F18" s="1"/>
    </row>
    <row r="19" spans="1:6">
      <c r="A19" s="1"/>
      <c r="B19" s="1" t="s">
        <v>26</v>
      </c>
      <c r="C19" s="1"/>
      <c r="D19" s="1">
        <v>0.92</v>
      </c>
      <c r="E19" s="3"/>
      <c r="F19" s="1"/>
    </row>
    <row r="20" spans="1:6">
      <c r="A20" s="1"/>
      <c r="B20" s="1"/>
      <c r="C20" s="1" t="s">
        <v>27</v>
      </c>
      <c r="D20" s="1">
        <f>1-D19</f>
        <v>0.08</v>
      </c>
      <c r="E20" s="3" t="str">
        <f>_xlfn.FORMULATEXT(D20)</f>
        <v>=1-D19</v>
      </c>
      <c r="F20" s="1"/>
    </row>
    <row r="21" spans="1:6">
      <c r="A21" s="1"/>
      <c r="B21" s="1"/>
      <c r="C21" s="1" t="s">
        <v>28</v>
      </c>
      <c r="D21" s="1">
        <f>_xlfn.NORM.S.INV(1-D20/2)</f>
        <v>1.75068607125217</v>
      </c>
      <c r="E21" s="3" t="str">
        <f>_xlfn.FORMULATEXT(D21)</f>
        <v>=NORM.S.INV(1-D20/2)</v>
      </c>
      <c r="F21" s="1"/>
    </row>
    <row r="22" spans="1:6">
      <c r="A22" s="1"/>
      <c r="B22" s="1" t="s">
        <v>14</v>
      </c>
      <c r="C22" s="1"/>
      <c r="D22" s="1">
        <f>D8-D10*D21</f>
        <v>73.762210238685</v>
      </c>
      <c r="E22" s="3" t="str">
        <f t="shared" ref="E22:E23" si="1">_xlfn.FORMULATEXT(D22)</f>
        <v>=D8-D10*D21</v>
      </c>
      <c r="F22" s="1"/>
    </row>
    <row r="23" spans="1:6">
      <c r="A23" s="1"/>
      <c r="B23" s="1" t="s">
        <v>15</v>
      </c>
      <c r="C23" s="1"/>
      <c r="D23" s="1">
        <f>D8+D10*D21</f>
        <v>76.237789761315</v>
      </c>
      <c r="E23" s="3" t="str">
        <f t="shared" si="1"/>
        <v>=D8+D10*D21</v>
      </c>
      <c r="F23" s="1"/>
    </row>
    <row r="24" spans="1:6">
      <c r="A24" s="1"/>
      <c r="B24" s="1"/>
      <c r="C24" s="1"/>
      <c r="D24" s="1"/>
      <c r="E24" s="1"/>
      <c r="F24" s="1"/>
    </row>
    <row r="25" spans="1:6">
      <c r="A25" s="1" t="s">
        <v>17</v>
      </c>
      <c r="B25" s="1"/>
      <c r="C25" s="1"/>
      <c r="D25" s="1"/>
      <c r="E25" s="1"/>
      <c r="F25" s="1"/>
    </row>
    <row r="26" spans="1:6">
      <c r="A26" s="1"/>
      <c r="B26" s="1" t="s">
        <v>28</v>
      </c>
      <c r="C26" s="1">
        <v>3</v>
      </c>
      <c r="D26" s="1"/>
      <c r="E26" s="1"/>
      <c r="F26" s="1"/>
    </row>
    <row r="27" spans="1:6">
      <c r="A27" s="1"/>
      <c r="B27" s="1" t="s">
        <v>14</v>
      </c>
      <c r="C27" s="1"/>
      <c r="D27" s="1">
        <f>D8-D10*C26</f>
        <v>72.87890625</v>
      </c>
      <c r="E27" s="3" t="str">
        <f>_xlfn.FORMULATEXT(D27)</f>
        <v>=D8-D10*C26</v>
      </c>
      <c r="F27" s="1"/>
    </row>
    <row r="28" spans="1:6">
      <c r="A28" s="1"/>
      <c r="B28" s="1" t="s">
        <v>15</v>
      </c>
      <c r="C28" s="1"/>
      <c r="D28" s="1">
        <f>D8+D10*C26</f>
        <v>77.12109375</v>
      </c>
      <c r="E28" s="3" t="str">
        <f>_xlfn.FORMULATEXT(D28)</f>
        <v>=D8+D10*C26</v>
      </c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 t="s">
        <v>29</v>
      </c>
      <c r="E30" s="1"/>
      <c r="F30" s="1"/>
    </row>
  </sheetData>
  <printOptions headings="1" gridLines="1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gautamkrishnaraj5@gmail.com</dc:creator>
  <cp:lastModifiedBy>Dell</cp:lastModifiedBy>
  <dcterms:created xsi:type="dcterms:W3CDTF">2024-12-29T04:35:00Z</dcterms:created>
  <dcterms:modified xsi:type="dcterms:W3CDTF">2024-12-31T04:59:30Z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8F9AC37DC8BD449C8D087C0F798E0FD0_12</vt:lpwstr>
  </property>
  <property fmtid="{D5CDD505-2E9C-101B-9397-08002B2CF9AE}" pid="3" name="KSOProductBuildVer">
    <vt:lpwstr>1033-12.2.0.19307</vt:lpwstr>
  </property>
</Properties>
</file>