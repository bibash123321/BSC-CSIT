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esktop\STATITICS\"/>
    </mc:Choice>
  </mc:AlternateContent>
  <bookViews>
    <workbookView xWindow="0" yWindow="0" windowWidth="19200" windowHeight="693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2" l="1"/>
  <c r="E24" i="2" s="1"/>
  <c r="E13" i="2" l="1"/>
  <c r="E14" i="2" s="1"/>
  <c r="G12" i="2"/>
  <c r="E12" i="2"/>
  <c r="F21" i="2"/>
  <c r="F20" i="2"/>
  <c r="E20" i="2" l="1"/>
  <c r="E21" i="2" s="1"/>
  <c r="D18" i="1"/>
  <c r="D8" i="1"/>
  <c r="D7" i="1"/>
  <c r="F24" i="2"/>
  <c r="E7" i="1"/>
  <c r="E9" i="1"/>
  <c r="E15" i="1"/>
  <c r="E16" i="1"/>
  <c r="E18" i="1"/>
  <c r="E14" i="1"/>
  <c r="D15" i="1" l="1"/>
  <c r="D16" i="1" s="1"/>
  <c r="D9" i="1"/>
  <c r="D14" i="1"/>
</calcChain>
</file>

<file path=xl/sharedStrings.xml><?xml version="1.0" encoding="utf-8"?>
<sst xmlns="http://schemas.openxmlformats.org/spreadsheetml/2006/main" count="58" uniqueCount="50">
  <si>
    <t>A dice is rolled 1024 times and face six is observed 160 times, test at 7% level of</t>
  </si>
  <si>
    <t>significance, whether the dice is unbiased or not.</t>
  </si>
  <si>
    <t>Solution:- Here we have</t>
  </si>
  <si>
    <t xml:space="preserve">Sample size(n) = </t>
  </si>
  <si>
    <t xml:space="preserve">No. of six face (x) = </t>
  </si>
  <si>
    <t xml:space="preserve">Sample prop. (p) = </t>
  </si>
  <si>
    <t>Population prop. (P) =</t>
  </si>
  <si>
    <t>Q =</t>
  </si>
  <si>
    <t>Here we set up Hypothesis as</t>
  </si>
  <si>
    <t xml:space="preserve">S.E.(p) = </t>
  </si>
  <si>
    <t xml:space="preserve">α = </t>
  </si>
  <si>
    <t>let</t>
  </si>
  <si>
    <t>conclusion that Dice is Unbaised.</t>
  </si>
  <si>
    <r>
      <t>H</t>
    </r>
    <r>
      <rPr>
        <vertAlign val="sub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 xml:space="preserve"> : P =1/6 i.e Dice is unbaised.</t>
    </r>
  </si>
  <si>
    <r>
      <t>Z</t>
    </r>
    <r>
      <rPr>
        <vertAlign val="subscript"/>
        <sz val="12"/>
        <color theme="1"/>
        <rFont val="Times New Roman"/>
        <family val="1"/>
      </rPr>
      <t xml:space="preserve">cal. </t>
    </r>
    <r>
      <rPr>
        <sz val="12"/>
        <color theme="1"/>
        <rFont val="Times New Roman"/>
        <family val="1"/>
      </rPr>
      <t xml:space="preserve">= </t>
    </r>
  </si>
  <si>
    <r>
      <t>|Z</t>
    </r>
    <r>
      <rPr>
        <vertAlign val="subscript"/>
        <sz val="12"/>
        <color theme="1"/>
        <rFont val="Times New Roman"/>
        <family val="1"/>
      </rPr>
      <t>cal.</t>
    </r>
    <r>
      <rPr>
        <sz val="12"/>
        <color theme="1"/>
        <rFont val="Times New Roman"/>
        <family val="1"/>
      </rPr>
      <t xml:space="preserve">| = </t>
    </r>
  </si>
  <si>
    <r>
      <t>Z</t>
    </r>
    <r>
      <rPr>
        <vertAlign val="subscript"/>
        <sz val="12"/>
        <color theme="1"/>
        <rFont val="Times New Roman"/>
        <family val="1"/>
      </rPr>
      <t>tab.</t>
    </r>
    <r>
      <rPr>
        <sz val="12"/>
        <color theme="1"/>
        <rFont val="Times New Roman"/>
        <family val="1"/>
      </rPr>
      <t xml:space="preserve"> = </t>
    </r>
  </si>
  <si>
    <r>
      <t>Decision:- Since,Z</t>
    </r>
    <r>
      <rPr>
        <vertAlign val="subscript"/>
        <sz val="12"/>
        <color theme="1"/>
        <rFont val="Times New Roman"/>
        <family val="1"/>
      </rPr>
      <t>cal.</t>
    </r>
    <r>
      <rPr>
        <sz val="12"/>
        <color theme="1"/>
        <rFont val="Times New Roman"/>
        <family val="1"/>
      </rPr>
      <t xml:space="preserve"> &lt; Z</t>
    </r>
    <r>
      <rPr>
        <vertAlign val="subscript"/>
        <sz val="12"/>
        <color theme="1"/>
        <rFont val="Times New Roman"/>
        <family val="1"/>
      </rPr>
      <t>tab.</t>
    </r>
    <r>
      <rPr>
        <sz val="12"/>
        <color theme="1"/>
        <rFont val="Times New Roman"/>
        <family val="1"/>
      </rPr>
      <t xml:space="preserve"> ,we accept H</t>
    </r>
    <r>
      <rPr>
        <vertAlign val="subscript"/>
        <sz val="12"/>
        <color theme="1"/>
        <rFont val="Times New Roman"/>
        <family val="1"/>
      </rPr>
      <t xml:space="preserve">0 </t>
    </r>
    <r>
      <rPr>
        <sz val="12"/>
        <color theme="1"/>
        <rFont val="Times New Roman"/>
        <family val="1"/>
      </rPr>
      <t>and reject H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>, with the</t>
    </r>
  </si>
  <si>
    <r>
      <t>n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= </t>
    </r>
  </si>
  <si>
    <t>Solution: - Here we have</t>
  </si>
  <si>
    <t>Here , we set up Hypothesis as</t>
  </si>
  <si>
    <t>Under H0 ,test statistics</t>
  </si>
  <si>
    <r>
      <t>Z</t>
    </r>
    <r>
      <rPr>
        <vertAlign val="subscript"/>
        <sz val="11"/>
        <color theme="1"/>
        <rFont val="Times New Roman"/>
        <family val="1"/>
      </rPr>
      <t xml:space="preserve">cal </t>
    </r>
    <r>
      <rPr>
        <sz val="11"/>
        <color theme="1"/>
        <rFont val="Times New Roman"/>
        <family val="1"/>
      </rPr>
      <t xml:space="preserve">= </t>
    </r>
  </si>
  <si>
    <t>For OTT,</t>
  </si>
  <si>
    <r>
      <t>Z</t>
    </r>
    <r>
      <rPr>
        <vertAlign val="subscript"/>
        <sz val="11"/>
        <color theme="1"/>
        <rFont val="Times New Roman"/>
        <family val="1"/>
      </rPr>
      <t>tab</t>
    </r>
    <r>
      <rPr>
        <sz val="11"/>
        <color theme="1"/>
        <rFont val="Times New Roman"/>
        <family val="1"/>
      </rPr>
      <t xml:space="preserve"> = </t>
    </r>
  </si>
  <si>
    <t xml:space="preserve">From the following information , state whether City A is more literate than </t>
  </si>
  <si>
    <t>City B or not.Test at 92% Confidence Level.</t>
  </si>
  <si>
    <t>For City A</t>
  </si>
  <si>
    <t>For City B</t>
  </si>
  <si>
    <t>No.  Of person</t>
  </si>
  <si>
    <t>No.  Of Literate</t>
  </si>
  <si>
    <r>
      <t>x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= </t>
    </r>
  </si>
  <si>
    <r>
      <t>x</t>
    </r>
    <r>
      <rPr>
        <vertAlign val="subscript"/>
        <sz val="11"/>
        <color theme="1"/>
        <rFont val="Times New Roman"/>
        <family val="1"/>
      </rPr>
      <t xml:space="preserve">2 </t>
    </r>
    <r>
      <rPr>
        <sz val="11"/>
        <color theme="1"/>
        <rFont val="Times New Roman"/>
        <family val="1"/>
      </rPr>
      <t>=</t>
    </r>
  </si>
  <si>
    <r>
      <t>n</t>
    </r>
    <r>
      <rPr>
        <vertAlign val="subscript"/>
        <sz val="11"/>
        <color theme="1"/>
        <rFont val="Times New Roman"/>
        <family val="1"/>
      </rPr>
      <t xml:space="preserve">2 </t>
    </r>
    <r>
      <rPr>
        <sz val="11"/>
        <color theme="1"/>
        <rFont val="Times New Roman"/>
        <family val="1"/>
      </rPr>
      <t xml:space="preserve">= </t>
    </r>
  </si>
  <si>
    <r>
      <t>p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= </t>
    </r>
  </si>
  <si>
    <r>
      <t>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= </t>
    </r>
  </si>
  <si>
    <t xml:space="preserve">Combined prop. (P) = </t>
  </si>
  <si>
    <t xml:space="preserve">Q = </t>
  </si>
  <si>
    <r>
      <t>H</t>
    </r>
    <r>
      <rPr>
        <vertAlign val="sub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 : P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= 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i.e There is no significant difference in literacy rate of two cities.</t>
    </r>
  </si>
  <si>
    <r>
      <t>H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: P </t>
    </r>
    <r>
      <rPr>
        <sz val="12"/>
        <color theme="1"/>
        <rFont val="Calibri"/>
        <family val="2"/>
      </rPr>
      <t>≠</t>
    </r>
    <r>
      <rPr>
        <sz val="12"/>
        <color theme="1"/>
        <rFont val="Times New Roman"/>
        <family val="1"/>
      </rPr>
      <t xml:space="preserve"> 1/6 i.e Dice is baised.</t>
    </r>
  </si>
  <si>
    <t xml:space="preserve">C.I. (1 - α ) = </t>
  </si>
  <si>
    <r>
      <t>Level of significance (</t>
    </r>
    <r>
      <rPr>
        <sz val="11"/>
        <color theme="1"/>
        <rFont val="Calibri"/>
        <family val="2"/>
      </rPr>
      <t>α</t>
    </r>
    <r>
      <rPr>
        <sz val="11"/>
        <color theme="1"/>
        <rFont val="Times New Roman"/>
        <family val="1"/>
      </rPr>
      <t>) =</t>
    </r>
  </si>
  <si>
    <r>
      <t>Decision: - Since Z</t>
    </r>
    <r>
      <rPr>
        <vertAlign val="subscript"/>
        <sz val="11"/>
        <color theme="1"/>
        <rFont val="Times New Roman"/>
        <family val="1"/>
      </rPr>
      <t>cal</t>
    </r>
    <r>
      <rPr>
        <sz val="11"/>
        <color theme="1"/>
        <rFont val="Times New Roman"/>
        <family val="1"/>
      </rPr>
      <t xml:space="preserve"> &lt; Z</t>
    </r>
    <r>
      <rPr>
        <vertAlign val="subscript"/>
        <sz val="11"/>
        <color theme="1"/>
        <rFont val="Times New Roman"/>
        <family val="1"/>
      </rPr>
      <t>tab</t>
    </r>
    <r>
      <rPr>
        <sz val="11"/>
        <color theme="1"/>
        <rFont val="Times New Roman"/>
        <family val="1"/>
      </rPr>
      <t xml:space="preserve"> ,we accept H</t>
    </r>
    <r>
      <rPr>
        <vertAlign val="sub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 and reject H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with the </t>
    </r>
  </si>
  <si>
    <t>conclusion that City A has more literacy rate than City B.</t>
  </si>
  <si>
    <r>
      <t>H</t>
    </r>
    <r>
      <rPr>
        <vertAlign val="sub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 : P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&gt; 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i.e City A has more literacy than city B.</t>
    </r>
  </si>
  <si>
    <r>
      <t>S.E(p</t>
    </r>
    <r>
      <rPr>
        <vertAlign val="subscript"/>
        <sz val="11"/>
        <color theme="1"/>
        <rFont val="Times New Roman"/>
        <family val="1"/>
      </rPr>
      <t xml:space="preserve">1 </t>
    </r>
    <r>
      <rPr>
        <sz val="11"/>
        <color theme="1"/>
        <rFont val="Times New Roman"/>
        <family val="1"/>
      </rPr>
      <t>- 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) = </t>
    </r>
  </si>
  <si>
    <t>Name: Hari Bashyal</t>
  </si>
  <si>
    <t>Roll no: 80010538</t>
  </si>
  <si>
    <t>Name : Hari Bashyal</t>
  </si>
  <si>
    <t>Roll no : 80010538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</si>
</sst>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rgb="FFFF0000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0" xfId="0" applyFont="1" applyAlignment="1">
      <alignment horizontal="right"/>
    </xf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1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3" fillId="2" borderId="0" xfId="0" applyFont="1" applyFill="1"/>
    <xf numFmtId="0" fontId="3" fillId="0" borderId="0" xfId="0" applyFont="1" applyFill="1"/>
    <xf numFmtId="0" fontId="3" fillId="0" borderId="0" xfId="0" applyFont="1" applyAlignment="1">
      <alignment horizontal="left"/>
    </xf>
    <xf numFmtId="0" fontId="3" fillId="0" borderId="0" xfId="0" applyFont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activeCell="H26" sqref="H26"/>
    </sheetView>
  </sheetViews>
  <sheetFormatPr defaultColWidth="8.90625" defaultRowHeight="15.5" x14ac:dyDescent="0.35"/>
  <cols>
    <col min="1" max="16384" width="8.90625" style="1"/>
  </cols>
  <sheetData>
    <row r="1" spans="1:9" x14ac:dyDescent="0.35">
      <c r="A1" s="1" t="s">
        <v>0</v>
      </c>
    </row>
    <row r="2" spans="1:9" x14ac:dyDescent="0.35">
      <c r="A2" s="1" t="s">
        <v>1</v>
      </c>
    </row>
    <row r="3" spans="1:9" x14ac:dyDescent="0.35">
      <c r="A3" s="3"/>
      <c r="B3" s="3"/>
      <c r="C3" s="3"/>
      <c r="D3" s="3"/>
      <c r="E3" s="3"/>
      <c r="F3" s="3"/>
      <c r="G3" s="3"/>
      <c r="H3" s="3"/>
      <c r="I3" s="3"/>
    </row>
    <row r="4" spans="1:9" x14ac:dyDescent="0.35">
      <c r="A4" s="1" t="s">
        <v>2</v>
      </c>
    </row>
    <row r="5" spans="1:9" x14ac:dyDescent="0.35">
      <c r="C5" s="4" t="s">
        <v>3</v>
      </c>
      <c r="D5" s="8">
        <v>1024</v>
      </c>
    </row>
    <row r="6" spans="1:9" x14ac:dyDescent="0.35">
      <c r="C6" s="4" t="s">
        <v>4</v>
      </c>
      <c r="D6" s="8">
        <v>160</v>
      </c>
      <c r="E6" s="5"/>
    </row>
    <row r="7" spans="1:9" x14ac:dyDescent="0.35">
      <c r="C7" s="4" t="s">
        <v>5</v>
      </c>
      <c r="D7" s="8">
        <f xml:space="preserve"> D6/D5</f>
        <v>0.15625</v>
      </c>
      <c r="E7" s="5" t="str">
        <f ca="1">_xlfn.FORMULATEXT(D7)</f>
        <v>= D6/D5</v>
      </c>
    </row>
    <row r="8" spans="1:9" x14ac:dyDescent="0.35">
      <c r="C8" s="4" t="s">
        <v>6</v>
      </c>
      <c r="D8" s="10">
        <f>1/6</f>
        <v>0.16666666666666666</v>
      </c>
      <c r="E8" s="5"/>
    </row>
    <row r="9" spans="1:9" x14ac:dyDescent="0.35">
      <c r="C9" s="4" t="s">
        <v>7</v>
      </c>
      <c r="D9" s="11">
        <f xml:space="preserve"> 1 - D8</f>
        <v>0.83333333333333337</v>
      </c>
      <c r="E9" s="5" t="str">
        <f t="shared" ref="E9" ca="1" si="0">_xlfn.FORMULATEXT(D9)</f>
        <v>= 1 - D8</v>
      </c>
    </row>
    <row r="10" spans="1:9" x14ac:dyDescent="0.35">
      <c r="B10" s="1" t="s">
        <v>8</v>
      </c>
    </row>
    <row r="11" spans="1:9" ht="17.5" x14ac:dyDescent="0.45">
      <c r="B11" s="1" t="s">
        <v>13</v>
      </c>
    </row>
    <row r="12" spans="1:9" ht="17.5" x14ac:dyDescent="0.45">
      <c r="B12" s="1" t="s">
        <v>39</v>
      </c>
    </row>
    <row r="13" spans="1:9" x14ac:dyDescent="0.35">
      <c r="D13" s="8"/>
    </row>
    <row r="14" spans="1:9" x14ac:dyDescent="0.35">
      <c r="C14" s="4" t="s">
        <v>9</v>
      </c>
      <c r="D14" s="8">
        <f xml:space="preserve"> SQRT(D8*D9/D5)</f>
        <v>1.1646187382811405E-2</v>
      </c>
      <c r="E14" s="5" t="str">
        <f ca="1">_xlfn.FORMULATEXT(D14)</f>
        <v>= SQRT(D8*D9/D5)</v>
      </c>
      <c r="F14" s="5"/>
      <c r="G14" s="5"/>
    </row>
    <row r="15" spans="1:9" ht="17.5" x14ac:dyDescent="0.45">
      <c r="C15" s="4" t="s">
        <v>14</v>
      </c>
      <c r="D15" s="8">
        <f xml:space="preserve"> (D7-D8)/D14</f>
        <v>-0.89442719099991508</v>
      </c>
      <c r="E15" s="5" t="str">
        <f t="shared" ref="E15:E18" ca="1" si="1">_xlfn.FORMULATEXT(D15)</f>
        <v>= (D7-D8)/D14</v>
      </c>
      <c r="F15" s="5"/>
      <c r="G15" s="5"/>
    </row>
    <row r="16" spans="1:9" ht="17.5" x14ac:dyDescent="0.45">
      <c r="C16" s="4" t="s">
        <v>15</v>
      </c>
      <c r="D16" s="8">
        <f xml:space="preserve"> ABS(D15)</f>
        <v>0.89442719099991508</v>
      </c>
      <c r="E16" s="5" t="str">
        <f t="shared" ca="1" si="1"/>
        <v>= ABS(D15)</v>
      </c>
      <c r="F16" s="5"/>
      <c r="G16" s="5"/>
    </row>
    <row r="17" spans="2:7" x14ac:dyDescent="0.35">
      <c r="C17" s="4" t="s">
        <v>10</v>
      </c>
      <c r="D17" s="8">
        <v>7.0000000000000007E-2</v>
      </c>
      <c r="E17" s="5" t="s">
        <v>11</v>
      </c>
      <c r="F17" s="5"/>
      <c r="G17" s="5"/>
    </row>
    <row r="18" spans="2:7" ht="17.5" x14ac:dyDescent="0.45">
      <c r="C18" s="4" t="s">
        <v>16</v>
      </c>
      <c r="D18" s="8">
        <f>NORMSINV(1 - D17/2)</f>
        <v>1.8119106729525971</v>
      </c>
      <c r="E18" s="5" t="str">
        <f t="shared" ca="1" si="1"/>
        <v>=NORMSINV(1 - D17/2)</v>
      </c>
      <c r="F18" s="5"/>
      <c r="G18" s="5"/>
    </row>
    <row r="20" spans="2:7" ht="17.5" x14ac:dyDescent="0.45">
      <c r="B20" s="1" t="s">
        <v>17</v>
      </c>
    </row>
    <row r="21" spans="2:7" x14ac:dyDescent="0.35">
      <c r="B21" s="1" t="s">
        <v>12</v>
      </c>
    </row>
    <row r="23" spans="2:7" x14ac:dyDescent="0.35">
      <c r="E23" s="1" t="s">
        <v>46</v>
      </c>
    </row>
    <row r="24" spans="2:7" x14ac:dyDescent="0.35">
      <c r="E24" s="1" t="s">
        <v>47</v>
      </c>
    </row>
  </sheetData>
  <printOptions headings="1" gridLine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topLeftCell="A16" workbookViewId="0">
      <selection activeCell="F30" sqref="F30"/>
    </sheetView>
  </sheetViews>
  <sheetFormatPr defaultColWidth="8.90625" defaultRowHeight="14" x14ac:dyDescent="0.3"/>
  <cols>
    <col min="1" max="4" width="8.90625" style="2"/>
    <col min="5" max="5" width="9.1796875" style="2" bestFit="1" customWidth="1"/>
    <col min="6" max="16384" width="8.90625" style="2"/>
  </cols>
  <sheetData>
    <row r="1" spans="1:11" x14ac:dyDescent="0.3">
      <c r="A1" s="2" t="s">
        <v>25</v>
      </c>
    </row>
    <row r="2" spans="1:11" x14ac:dyDescent="0.3">
      <c r="A2" s="2" t="s">
        <v>26</v>
      </c>
    </row>
    <row r="3" spans="1:11" x14ac:dyDescent="0.3">
      <c r="D3" s="15" t="s">
        <v>27</v>
      </c>
      <c r="F3" s="2" t="s">
        <v>28</v>
      </c>
    </row>
    <row r="4" spans="1:11" ht="17" x14ac:dyDescent="0.45">
      <c r="C4" s="7" t="s">
        <v>29</v>
      </c>
      <c r="D4" s="7" t="s">
        <v>18</v>
      </c>
      <c r="E4" s="9">
        <v>1000</v>
      </c>
      <c r="F4" s="7" t="s">
        <v>33</v>
      </c>
      <c r="G4" s="9">
        <v>800</v>
      </c>
    </row>
    <row r="5" spans="1:11" ht="17" x14ac:dyDescent="0.45">
      <c r="C5" s="7" t="s">
        <v>30</v>
      </c>
      <c r="D5" s="7" t="s">
        <v>31</v>
      </c>
      <c r="E5" s="9">
        <v>600</v>
      </c>
      <c r="F5" s="7" t="s">
        <v>32</v>
      </c>
      <c r="G5" s="9">
        <v>500</v>
      </c>
    </row>
    <row r="6" spans="1:11" x14ac:dyDescent="0.3">
      <c r="D6" s="7"/>
      <c r="E6" s="9"/>
      <c r="F6" s="7"/>
      <c r="G6" s="9"/>
    </row>
    <row r="7" spans="1:11" x14ac:dyDescent="0.3">
      <c r="A7" s="12"/>
      <c r="B7" s="12"/>
      <c r="C7" s="12"/>
      <c r="D7" s="12"/>
      <c r="E7" s="12"/>
      <c r="F7" s="12"/>
      <c r="G7" s="12"/>
      <c r="H7" s="12"/>
      <c r="I7" s="12"/>
      <c r="J7" s="13"/>
      <c r="K7" s="13"/>
    </row>
    <row r="8" spans="1:11" x14ac:dyDescent="0.3">
      <c r="A8" s="2" t="s">
        <v>19</v>
      </c>
    </row>
    <row r="9" spans="1:11" x14ac:dyDescent="0.3">
      <c r="D9" s="15" t="s">
        <v>27</v>
      </c>
      <c r="E9" s="9"/>
      <c r="F9" s="2" t="s">
        <v>28</v>
      </c>
    </row>
    <row r="10" spans="1:11" ht="17" x14ac:dyDescent="0.45">
      <c r="C10" s="7" t="s">
        <v>29</v>
      </c>
      <c r="D10" s="7" t="s">
        <v>18</v>
      </c>
      <c r="E10" s="9">
        <v>1000</v>
      </c>
      <c r="F10" s="7" t="s">
        <v>33</v>
      </c>
      <c r="G10" s="9">
        <v>800</v>
      </c>
    </row>
    <row r="11" spans="1:11" ht="17" x14ac:dyDescent="0.45">
      <c r="C11" s="7" t="s">
        <v>30</v>
      </c>
      <c r="D11" s="7" t="s">
        <v>31</v>
      </c>
      <c r="E11" s="9">
        <v>600</v>
      </c>
      <c r="F11" s="7" t="s">
        <v>32</v>
      </c>
      <c r="G11" s="9">
        <v>500</v>
      </c>
    </row>
    <row r="12" spans="1:11" ht="17" x14ac:dyDescent="0.45">
      <c r="B12" s="7"/>
      <c r="C12" s="9"/>
      <c r="D12" s="7" t="s">
        <v>34</v>
      </c>
      <c r="E12" s="9">
        <f>E11/E10</f>
        <v>0.6</v>
      </c>
      <c r="F12" s="7" t="s">
        <v>35</v>
      </c>
      <c r="G12" s="2">
        <f>G11/G10</f>
        <v>0.625</v>
      </c>
    </row>
    <row r="13" spans="1:11" x14ac:dyDescent="0.3">
      <c r="D13" s="7" t="s">
        <v>36</v>
      </c>
      <c r="E13" s="9">
        <f xml:space="preserve"> (E11+G11)/(E10+G10)</f>
        <v>0.61111111111111116</v>
      </c>
    </row>
    <row r="14" spans="1:11" x14ac:dyDescent="0.3">
      <c r="D14" s="7" t="s">
        <v>37</v>
      </c>
      <c r="E14" s="9">
        <f xml:space="preserve"> 1-E13</f>
        <v>0.38888888888888884</v>
      </c>
    </row>
    <row r="15" spans="1:11" x14ac:dyDescent="0.3">
      <c r="B15" s="7"/>
      <c r="C15" s="2" t="s">
        <v>20</v>
      </c>
      <c r="E15" s="9"/>
    </row>
    <row r="16" spans="1:11" ht="17" x14ac:dyDescent="0.45">
      <c r="C16" s="2" t="s">
        <v>38</v>
      </c>
      <c r="E16" s="9"/>
    </row>
    <row r="17" spans="2:8" ht="17" x14ac:dyDescent="0.45">
      <c r="C17" s="2" t="s">
        <v>44</v>
      </c>
      <c r="E17" s="9"/>
    </row>
    <row r="18" spans="2:8" x14ac:dyDescent="0.3">
      <c r="E18" s="9"/>
    </row>
    <row r="19" spans="2:8" x14ac:dyDescent="0.3">
      <c r="C19" s="2" t="s">
        <v>21</v>
      </c>
      <c r="E19" s="9"/>
    </row>
    <row r="20" spans="2:8" ht="17" x14ac:dyDescent="0.45">
      <c r="D20" s="7" t="s">
        <v>45</v>
      </c>
      <c r="E20" s="9">
        <f>SQRT(E13*E14*(1/E10+1/G10))</f>
        <v>2.3124061542519347E-2</v>
      </c>
      <c r="F20" s="6" t="str">
        <f ca="1">_xlfn.FORMULATEXT(E20)</f>
        <v>=SQRT(E13*E14*(1/E10+1/G10))</v>
      </c>
      <c r="G20" s="6"/>
      <c r="H20" s="6"/>
    </row>
    <row r="21" spans="2:8" ht="17" x14ac:dyDescent="0.45">
      <c r="D21" s="7" t="s">
        <v>22</v>
      </c>
      <c r="E21" s="9">
        <f xml:space="preserve"> (E12-G12)/E20</f>
        <v>-1.0811249552346718</v>
      </c>
      <c r="F21" s="6" t="str">
        <f t="shared" ref="F21" ca="1" si="0">_xlfn.FORMULATEXT(E21)</f>
        <v>= (E12-G12)/E20</v>
      </c>
      <c r="G21" s="6"/>
      <c r="H21" s="6"/>
    </row>
    <row r="22" spans="2:8" x14ac:dyDescent="0.3">
      <c r="D22" s="7" t="s">
        <v>40</v>
      </c>
      <c r="E22" s="9">
        <v>0.92</v>
      </c>
      <c r="F22" s="6"/>
      <c r="G22" s="6"/>
      <c r="H22" s="6"/>
    </row>
    <row r="23" spans="2:8" ht="14.5" x14ac:dyDescent="0.35">
      <c r="D23" s="7" t="s">
        <v>41</v>
      </c>
      <c r="E23" s="9">
        <f xml:space="preserve"> 1-E22</f>
        <v>7.999999999999996E-2</v>
      </c>
    </row>
    <row r="24" spans="2:8" ht="17" x14ac:dyDescent="0.45">
      <c r="C24" s="2" t="s">
        <v>23</v>
      </c>
      <c r="D24" s="7" t="s">
        <v>24</v>
      </c>
      <c r="E24" s="9">
        <f xml:space="preserve"> NORMSINV(1 - E23)</f>
        <v>1.4050715603096329</v>
      </c>
      <c r="F24" s="6" t="str">
        <f ca="1">_xlfn.FORMULATEXT(E24)</f>
        <v>= NORMSINV(1 - E23)</v>
      </c>
      <c r="G24" s="6"/>
      <c r="H24" s="6"/>
    </row>
    <row r="25" spans="2:8" ht="17" x14ac:dyDescent="0.45">
      <c r="B25" s="14"/>
      <c r="C25" s="2" t="s">
        <v>42</v>
      </c>
    </row>
    <row r="26" spans="2:8" x14ac:dyDescent="0.3">
      <c r="C26" s="14"/>
      <c r="D26" s="14" t="s">
        <v>43</v>
      </c>
    </row>
    <row r="29" spans="2:8" x14ac:dyDescent="0.3">
      <c r="F29" s="2" t="s">
        <v>48</v>
      </c>
    </row>
    <row r="30" spans="2:8" x14ac:dyDescent="0.3">
      <c r="F30" s="2" t="s">
        <v>49</v>
      </c>
    </row>
  </sheetData>
  <printOptions headings="1"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Dell</cp:lastModifiedBy>
  <dcterms:created xsi:type="dcterms:W3CDTF">2025-01-02T05:30:48Z</dcterms:created>
  <dcterms:modified xsi:type="dcterms:W3CDTF">2025-01-02T07:19:46Z</dcterms:modified>
</cp:coreProperties>
</file>