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STATITICS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E16" i="1"/>
  <c r="E21" i="2" l="1"/>
  <c r="E18" i="2"/>
  <c r="E19" i="2" s="1"/>
  <c r="D18" i="1"/>
  <c r="D14" i="1"/>
  <c r="D15" i="1" s="1"/>
  <c r="F21" i="2"/>
  <c r="E14" i="1"/>
  <c r="F19" i="2"/>
  <c r="F18" i="2"/>
  <c r="E18" i="1"/>
  <c r="E15" i="1"/>
</calcChain>
</file>

<file path=xl/sharedStrings.xml><?xml version="1.0" encoding="utf-8"?>
<sst xmlns="http://schemas.openxmlformats.org/spreadsheetml/2006/main" count="52" uniqueCount="37">
  <si>
    <t>Solution :- Here we have</t>
  </si>
  <si>
    <t xml:space="preserve">Sample size(n) = </t>
  </si>
  <si>
    <t xml:space="preserve">Sample mean (x*) = </t>
  </si>
  <si>
    <t>Here , we set up Hypothesis as</t>
  </si>
  <si>
    <t>Under H0 ,test statistics</t>
  </si>
  <si>
    <t xml:space="preserve">S.E(X*) = </t>
  </si>
  <si>
    <t xml:space="preserve">Pop. Mean (µ) = </t>
  </si>
  <si>
    <t>Pop.SD(σ) =</t>
  </si>
  <si>
    <r>
      <t>H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: µ = 0 i.e Sample is drawn from given hypothesis.</t>
    </r>
  </si>
  <si>
    <r>
      <t>H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: µ ≠ 0 i.e Sample is drawn from given hypothesis.</t>
    </r>
  </si>
  <si>
    <r>
      <t>Z</t>
    </r>
    <r>
      <rPr>
        <vertAlign val="subscript"/>
        <sz val="11"/>
        <color theme="1"/>
        <rFont val="Times New Roman"/>
        <family val="1"/>
      </rPr>
      <t xml:space="preserve">cal </t>
    </r>
    <r>
      <rPr>
        <sz val="11"/>
        <color theme="1"/>
        <rFont val="Times New Roman"/>
        <family val="1"/>
      </rPr>
      <t xml:space="preserve">= </t>
    </r>
  </si>
  <si>
    <t xml:space="preserve">Level of significance (α ) = </t>
  </si>
  <si>
    <r>
      <t>Z</t>
    </r>
    <r>
      <rPr>
        <vertAlign val="subscript"/>
        <sz val="11"/>
        <color theme="1"/>
        <rFont val="Times New Roman"/>
        <family val="1"/>
      </rPr>
      <t>tab</t>
    </r>
    <r>
      <rPr>
        <sz val="11"/>
        <color theme="1"/>
        <rFont val="Times New Roman"/>
        <family val="1"/>
      </rPr>
      <t xml:space="preserve"> = </t>
    </r>
  </si>
  <si>
    <t>From the following information , state whether Company A is superior to</t>
  </si>
  <si>
    <t>Company B or not.</t>
  </si>
  <si>
    <t>For company A</t>
  </si>
  <si>
    <t>For company B</t>
  </si>
  <si>
    <t>Solution: - Here we have</t>
  </si>
  <si>
    <r>
      <t>H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: µ1 &gt; µ2 i.e Sample is drawn from given hypothesis.</t>
    </r>
  </si>
  <si>
    <r>
      <t>S.E(x*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- x*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) = </t>
    </r>
  </si>
  <si>
    <r>
      <t>Decision: - Since Z</t>
    </r>
    <r>
      <rPr>
        <vertAlign val="subscript"/>
        <sz val="11"/>
        <color theme="1"/>
        <rFont val="Times New Roman"/>
        <family val="1"/>
      </rPr>
      <t>cal</t>
    </r>
    <r>
      <rPr>
        <sz val="11"/>
        <color theme="1"/>
        <rFont val="Times New Roman"/>
        <family val="1"/>
      </rPr>
      <t xml:space="preserve"> &gt; Z</t>
    </r>
    <r>
      <rPr>
        <vertAlign val="subscript"/>
        <sz val="11"/>
        <color theme="1"/>
        <rFont val="Times New Roman"/>
        <family val="1"/>
      </rPr>
      <t>tab</t>
    </r>
    <r>
      <rPr>
        <sz val="11"/>
        <color theme="1"/>
        <rFont val="Times New Roman"/>
        <family val="1"/>
      </rPr>
      <t xml:space="preserve"> ,we reject H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and accept H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with the </t>
    </r>
  </si>
  <si>
    <t>conclusion that Company A is superior to Company B</t>
  </si>
  <si>
    <t>For OTT,</t>
  </si>
  <si>
    <r>
      <t>n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= </t>
    </r>
  </si>
  <si>
    <r>
      <t>n</t>
    </r>
    <r>
      <rPr>
        <vertAlign val="subscript"/>
        <sz val="11"/>
        <color theme="1"/>
        <rFont val="Times New Roman"/>
        <family val="1"/>
      </rPr>
      <t xml:space="preserve">1 </t>
    </r>
    <r>
      <rPr>
        <sz val="11"/>
        <color theme="1"/>
        <rFont val="Times New Roman"/>
        <family val="1"/>
      </rPr>
      <t xml:space="preserve">= </t>
    </r>
  </si>
  <si>
    <r>
      <t>x*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= </t>
    </r>
  </si>
  <si>
    <r>
      <t>x*</t>
    </r>
    <r>
      <rPr>
        <vertAlign val="subscript"/>
        <sz val="11"/>
        <color theme="1"/>
        <rFont val="Times New Roman"/>
        <family val="1"/>
      </rPr>
      <t xml:space="preserve">2 </t>
    </r>
    <r>
      <rPr>
        <sz val="11"/>
        <color theme="1"/>
        <rFont val="Times New Roman"/>
        <family val="1"/>
      </rPr>
      <t>=</t>
    </r>
  </si>
  <si>
    <r>
      <t>s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= </t>
    </r>
  </si>
  <si>
    <r>
      <t>s</t>
    </r>
    <r>
      <rPr>
        <vertAlign val="subscript"/>
        <sz val="11"/>
        <color theme="1"/>
        <rFont val="Times New Roman"/>
        <family val="1"/>
      </rPr>
      <t xml:space="preserve">2 </t>
    </r>
    <r>
      <rPr>
        <sz val="11"/>
        <color theme="1"/>
        <rFont val="Times New Roman"/>
        <family val="1"/>
      </rPr>
      <t xml:space="preserve">= </t>
    </r>
  </si>
  <si>
    <r>
      <t>H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: µ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= µ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i.e Sample is drawn from given hypothesis.</t>
    </r>
  </si>
  <si>
    <t>Name : Hari Bashyal</t>
  </si>
  <si>
    <t>Roll no. : 80010538</t>
  </si>
  <si>
    <t>|Zcal.|   =</t>
  </si>
  <si>
    <t>conclusion that sample is drawn from different  population.</t>
  </si>
  <si>
    <t>A sample of size 250 is drawn and mean is found to be 90.  Test at 6% level of significance</t>
  </si>
  <si>
    <t>that whether it was drawn form population with mean 93 and SD 10 or not.</t>
  </si>
  <si>
    <r>
      <t>Decision: - Since Z</t>
    </r>
    <r>
      <rPr>
        <vertAlign val="subscript"/>
        <sz val="11"/>
        <color theme="1"/>
        <rFont val="Times New Roman"/>
        <family val="1"/>
      </rPr>
      <t>cal</t>
    </r>
    <r>
      <rPr>
        <sz val="11"/>
        <color theme="1"/>
        <rFont val="Times New Roman"/>
        <family val="1"/>
      </rPr>
      <t xml:space="preserve"> &gt; Z</t>
    </r>
    <r>
      <rPr>
        <vertAlign val="subscript"/>
        <sz val="11"/>
        <color theme="1"/>
        <rFont val="Times New Roman"/>
        <family val="1"/>
      </rPr>
      <t>tab</t>
    </r>
    <r>
      <rPr>
        <sz val="11"/>
        <color theme="1"/>
        <rFont val="Times New Roman"/>
        <family val="1"/>
      </rPr>
      <t xml:space="preserve"> ,we accept H1 and reject H0 with the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</si>
</sst>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/>
    <xf numFmtId="0" fontId="4" fillId="0" borderId="0" xfId="0" applyFont="1"/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opLeftCell="A9" workbookViewId="0">
      <selection activeCell="I21" sqref="I21"/>
    </sheetView>
  </sheetViews>
  <sheetFormatPr defaultColWidth="8.90625" defaultRowHeight="14" x14ac:dyDescent="0.3"/>
  <cols>
    <col min="1" max="16384" width="8.90625" style="1"/>
  </cols>
  <sheetData>
    <row r="1" spans="1:11" x14ac:dyDescent="0.3">
      <c r="A1" s="8" t="s">
        <v>34</v>
      </c>
      <c r="B1" s="8"/>
      <c r="C1" s="8"/>
      <c r="D1" s="8"/>
      <c r="E1" s="8"/>
      <c r="F1" s="8"/>
      <c r="G1" s="8"/>
      <c r="H1" s="8"/>
      <c r="I1" s="8"/>
    </row>
    <row r="2" spans="1:11" x14ac:dyDescent="0.3">
      <c r="A2" s="8" t="s">
        <v>35</v>
      </c>
      <c r="B2" s="8"/>
      <c r="C2" s="8"/>
      <c r="D2" s="8"/>
      <c r="E2" s="8"/>
      <c r="F2" s="8"/>
      <c r="G2" s="8"/>
      <c r="H2" s="8"/>
      <c r="I2" s="8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7"/>
      <c r="K3" s="7"/>
    </row>
    <row r="4" spans="1:11" x14ac:dyDescent="0.3">
      <c r="A4" s="1" t="s">
        <v>0</v>
      </c>
    </row>
    <row r="5" spans="1:11" x14ac:dyDescent="0.3">
      <c r="B5" s="3"/>
      <c r="C5" s="3" t="s">
        <v>1</v>
      </c>
      <c r="D5" s="4">
        <v>250</v>
      </c>
    </row>
    <row r="6" spans="1:11" x14ac:dyDescent="0.3">
      <c r="B6" s="3"/>
      <c r="C6" s="3" t="s">
        <v>2</v>
      </c>
      <c r="D6" s="4">
        <v>90</v>
      </c>
    </row>
    <row r="7" spans="1:11" x14ac:dyDescent="0.3">
      <c r="B7" s="3"/>
      <c r="C7" s="3" t="s">
        <v>6</v>
      </c>
      <c r="D7" s="4">
        <v>93</v>
      </c>
    </row>
    <row r="8" spans="1:11" x14ac:dyDescent="0.3">
      <c r="B8" s="3"/>
      <c r="C8" s="3" t="s">
        <v>7</v>
      </c>
      <c r="D8" s="4">
        <v>10</v>
      </c>
    </row>
    <row r="9" spans="1:11" x14ac:dyDescent="0.3">
      <c r="B9" s="1" t="s">
        <v>3</v>
      </c>
    </row>
    <row r="10" spans="1:11" ht="17" x14ac:dyDescent="0.45">
      <c r="B10" s="1" t="s">
        <v>8</v>
      </c>
    </row>
    <row r="11" spans="1:11" ht="17" x14ac:dyDescent="0.45">
      <c r="B11" s="1" t="s">
        <v>9</v>
      </c>
    </row>
    <row r="13" spans="1:11" x14ac:dyDescent="0.3">
      <c r="B13" s="1" t="s">
        <v>4</v>
      </c>
    </row>
    <row r="14" spans="1:11" x14ac:dyDescent="0.3">
      <c r="C14" s="3" t="s">
        <v>5</v>
      </c>
      <c r="D14" s="4">
        <f xml:space="preserve"> D8/SQRT(D5)</f>
        <v>0.63245553203367588</v>
      </c>
      <c r="E14" s="5" t="str">
        <f ca="1">_xlfn.FORMULATEXT(D14)</f>
        <v>= D8/SQRT(D5)</v>
      </c>
      <c r="F14" s="5"/>
      <c r="G14" s="5"/>
    </row>
    <row r="15" spans="1:11" ht="17" x14ac:dyDescent="0.45">
      <c r="C15" s="3" t="s">
        <v>10</v>
      </c>
      <c r="D15" s="4">
        <f xml:space="preserve"> (D6 - D7) /D14</f>
        <v>-4.7434164902525691</v>
      </c>
      <c r="E15" s="5" t="str">
        <f t="shared" ref="E15:E18" ca="1" si="0">_xlfn.FORMULATEXT(D15)</f>
        <v>= (D6 - D7) /D14</v>
      </c>
      <c r="F15" s="5"/>
      <c r="G15" s="5"/>
    </row>
    <row r="16" spans="1:11" ht="17" x14ac:dyDescent="0.45">
      <c r="C16" s="3" t="s">
        <v>32</v>
      </c>
      <c r="D16" s="4">
        <f>ABS(D15)</f>
        <v>4.7434164902525691</v>
      </c>
      <c r="E16" s="5" t="str">
        <f ca="1">_xlfn.FORMULATEXT(D16)</f>
        <v>=ABS(D15)</v>
      </c>
      <c r="F16" s="5"/>
      <c r="G16" s="5"/>
    </row>
    <row r="17" spans="1:7" x14ac:dyDescent="0.3">
      <c r="C17" s="3" t="s">
        <v>11</v>
      </c>
      <c r="D17" s="4">
        <v>0.06</v>
      </c>
      <c r="E17" s="5"/>
      <c r="F17" s="5"/>
      <c r="G17" s="5"/>
    </row>
    <row r="18" spans="1:7" ht="17" x14ac:dyDescent="0.45">
      <c r="C18" s="3" t="s">
        <v>12</v>
      </c>
      <c r="D18" s="4">
        <f xml:space="preserve"> NORMSINV(1 - D17/2)</f>
        <v>1.8807936081512504</v>
      </c>
      <c r="E18" s="5" t="str">
        <f t="shared" ca="1" si="0"/>
        <v>= NORMSINV(1 - D17/2)</v>
      </c>
      <c r="F18" s="5"/>
      <c r="G18" s="5"/>
    </row>
    <row r="19" spans="1:7" ht="17" x14ac:dyDescent="0.45">
      <c r="B19" s="1" t="s">
        <v>36</v>
      </c>
    </row>
    <row r="20" spans="1:7" x14ac:dyDescent="0.3">
      <c r="A20" s="6"/>
      <c r="B20" s="6"/>
      <c r="C20" s="6" t="s">
        <v>33</v>
      </c>
    </row>
    <row r="23" spans="1:7" x14ac:dyDescent="0.3">
      <c r="E23" s="1" t="s">
        <v>30</v>
      </c>
    </row>
    <row r="24" spans="1:7" x14ac:dyDescent="0.3">
      <c r="E24" s="1" t="s">
        <v>31</v>
      </c>
    </row>
  </sheetData>
  <printOptions headings="1"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topLeftCell="A13" workbookViewId="0">
      <selection activeCell="F28" sqref="F28"/>
    </sheetView>
  </sheetViews>
  <sheetFormatPr defaultColWidth="8.90625" defaultRowHeight="14" x14ac:dyDescent="0.3"/>
  <cols>
    <col min="1" max="16384" width="8.90625" style="1"/>
  </cols>
  <sheetData>
    <row r="1" spans="1:11" x14ac:dyDescent="0.3">
      <c r="A1" s="1" t="s">
        <v>13</v>
      </c>
    </row>
    <row r="2" spans="1:11" x14ac:dyDescent="0.3">
      <c r="A2" s="1" t="s">
        <v>14</v>
      </c>
    </row>
    <row r="3" spans="1:11" x14ac:dyDescent="0.3">
      <c r="B3" s="1" t="s">
        <v>15</v>
      </c>
      <c r="D3" s="1" t="s">
        <v>16</v>
      </c>
    </row>
    <row r="4" spans="1:11" ht="17" x14ac:dyDescent="0.45">
      <c r="B4" s="3" t="s">
        <v>23</v>
      </c>
      <c r="C4" s="4">
        <v>100</v>
      </c>
      <c r="D4" s="3" t="s">
        <v>24</v>
      </c>
      <c r="E4" s="4">
        <v>125</v>
      </c>
    </row>
    <row r="5" spans="1:11" ht="17" x14ac:dyDescent="0.45">
      <c r="B5" s="3" t="s">
        <v>25</v>
      </c>
      <c r="C5" s="4">
        <v>260</v>
      </c>
      <c r="D5" s="3" t="s">
        <v>26</v>
      </c>
      <c r="E5" s="4">
        <v>258</v>
      </c>
    </row>
    <row r="6" spans="1:11" ht="17" x14ac:dyDescent="0.45">
      <c r="B6" s="3" t="s">
        <v>27</v>
      </c>
      <c r="C6" s="4">
        <v>5</v>
      </c>
      <c r="D6" s="3" t="s">
        <v>28</v>
      </c>
      <c r="E6" s="4">
        <v>10</v>
      </c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7"/>
      <c r="K7" s="7"/>
    </row>
    <row r="8" spans="1:11" x14ac:dyDescent="0.3">
      <c r="A8" s="1" t="s">
        <v>17</v>
      </c>
    </row>
    <row r="9" spans="1:11" x14ac:dyDescent="0.3">
      <c r="B9" s="1" t="s">
        <v>15</v>
      </c>
      <c r="D9" s="1" t="s">
        <v>16</v>
      </c>
    </row>
    <row r="10" spans="1:11" ht="17" x14ac:dyDescent="0.45">
      <c r="B10" s="3" t="s">
        <v>23</v>
      </c>
      <c r="C10" s="4">
        <v>100</v>
      </c>
      <c r="D10" s="3" t="s">
        <v>24</v>
      </c>
      <c r="E10" s="4">
        <v>125</v>
      </c>
    </row>
    <row r="11" spans="1:11" ht="17" x14ac:dyDescent="0.45">
      <c r="B11" s="3" t="s">
        <v>25</v>
      </c>
      <c r="C11" s="4">
        <v>260</v>
      </c>
      <c r="D11" s="3" t="s">
        <v>26</v>
      </c>
      <c r="E11" s="4">
        <v>258</v>
      </c>
    </row>
    <row r="12" spans="1:11" ht="17" x14ac:dyDescent="0.45">
      <c r="B12" s="3" t="s">
        <v>27</v>
      </c>
      <c r="C12" s="4">
        <v>5</v>
      </c>
      <c r="D12" s="3" t="s">
        <v>28</v>
      </c>
      <c r="E12" s="4">
        <v>10</v>
      </c>
    </row>
    <row r="13" spans="1:11" x14ac:dyDescent="0.3">
      <c r="B13" s="3"/>
      <c r="C13" s="1" t="s">
        <v>3</v>
      </c>
    </row>
    <row r="14" spans="1:11" ht="17" x14ac:dyDescent="0.45">
      <c r="C14" s="1" t="s">
        <v>29</v>
      </c>
    </row>
    <row r="15" spans="1:11" ht="17" x14ac:dyDescent="0.45">
      <c r="C15" s="1" t="s">
        <v>18</v>
      </c>
    </row>
    <row r="17" spans="2:8" x14ac:dyDescent="0.3">
      <c r="C17" s="1" t="s">
        <v>4</v>
      </c>
    </row>
    <row r="18" spans="2:8" ht="17" x14ac:dyDescent="0.45">
      <c r="D18" s="3" t="s">
        <v>19</v>
      </c>
      <c r="E18" s="9">
        <f xml:space="preserve"> SQRT(C12^2/C10+E12^2/E10)</f>
        <v>1.0246950765959599</v>
      </c>
      <c r="F18" s="5" t="str">
        <f ca="1">_xlfn.FORMULATEXT(E18)</f>
        <v>= SQRT(C12^2/C10+E12^2/E10)</v>
      </c>
      <c r="G18" s="5"/>
      <c r="H18" s="5"/>
    </row>
    <row r="19" spans="2:8" ht="17" x14ac:dyDescent="0.45">
      <c r="D19" s="3" t="s">
        <v>10</v>
      </c>
      <c r="E19" s="4">
        <f xml:space="preserve"> (C11-E11)/E18</f>
        <v>1.9518001458970662</v>
      </c>
      <c r="F19" s="5" t="str">
        <f t="shared" ref="F19:F21" ca="1" si="0">_xlfn.FORMULATEXT(E19)</f>
        <v>= (C11-E11)/E18</v>
      </c>
      <c r="G19" s="5"/>
      <c r="H19" s="5"/>
    </row>
    <row r="20" spans="2:8" x14ac:dyDescent="0.3">
      <c r="D20" s="3" t="s">
        <v>11</v>
      </c>
      <c r="E20" s="4">
        <v>0.05</v>
      </c>
      <c r="F20" s="5"/>
      <c r="G20" s="5"/>
      <c r="H20" s="5"/>
    </row>
    <row r="21" spans="2:8" ht="17" x14ac:dyDescent="0.45">
      <c r="C21" s="1" t="s">
        <v>22</v>
      </c>
      <c r="D21" s="3" t="s">
        <v>12</v>
      </c>
      <c r="E21" s="9">
        <f xml:space="preserve"> NORMSINV(1 - E20)</f>
        <v>1.6448536269514715</v>
      </c>
      <c r="F21" s="5" t="str">
        <f t="shared" ca="1" si="0"/>
        <v>= NORMSINV(1 - E20)</v>
      </c>
      <c r="G21" s="5"/>
      <c r="H21" s="5"/>
    </row>
    <row r="22" spans="2:8" ht="17" x14ac:dyDescent="0.45">
      <c r="C22" s="1" t="s">
        <v>20</v>
      </c>
    </row>
    <row r="23" spans="2:8" x14ac:dyDescent="0.3">
      <c r="B23" s="6"/>
      <c r="C23" s="6"/>
      <c r="D23" s="6" t="s">
        <v>21</v>
      </c>
    </row>
    <row r="26" spans="2:8" x14ac:dyDescent="0.3">
      <c r="F26" s="1" t="s">
        <v>30</v>
      </c>
    </row>
    <row r="27" spans="2:8" x14ac:dyDescent="0.3">
      <c r="F27" s="1" t="s">
        <v>31</v>
      </c>
    </row>
  </sheetData>
  <printOptions headings="1"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Dell</cp:lastModifiedBy>
  <cp:lastPrinted>2025-01-01T05:31:50Z</cp:lastPrinted>
  <dcterms:created xsi:type="dcterms:W3CDTF">2025-01-01T04:23:00Z</dcterms:created>
  <dcterms:modified xsi:type="dcterms:W3CDTF">2025-01-01T05:51:14Z</dcterms:modified>
</cp:coreProperties>
</file>