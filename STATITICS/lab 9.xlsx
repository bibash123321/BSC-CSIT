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STATITICS\"/>
    </mc:Choice>
  </mc:AlternateContent>
  <bookViews>
    <workbookView xWindow="0" yWindow="0" windowWidth="19200" windowHeight="6930" firstSheet="1" activeTab="8"/>
  </bookViews>
  <sheets>
    <sheet name="stats 1" sheetId="3" r:id="rId1"/>
    <sheet name="stats 2" sheetId="2" r:id="rId2"/>
    <sheet name="stats 3" sheetId="4" r:id="rId3"/>
    <sheet name="stats 4" sheetId="5" r:id="rId4"/>
    <sheet name="stats 5" sheetId="6" r:id="rId5"/>
    <sheet name="stats 6" sheetId="7" r:id="rId6"/>
    <sheet name="stats 7" sheetId="8" r:id="rId7"/>
    <sheet name="stats 8" sheetId="9" r:id="rId8"/>
    <sheet name="Sheet1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0" l="1"/>
  <c r="D18" i="10"/>
  <c r="D20" i="10" s="1"/>
  <c r="D9" i="10"/>
  <c r="D15" i="10" s="1"/>
  <c r="D8" i="10"/>
  <c r="D16" i="10" s="1"/>
  <c r="D6" i="10"/>
  <c r="E18" i="10"/>
  <c r="E8" i="10"/>
  <c r="E20" i="10"/>
  <c r="E15" i="10"/>
  <c r="E6" i="10"/>
  <c r="E16" i="10"/>
  <c r="E9" i="10"/>
  <c r="E19" i="10"/>
  <c r="D27" i="9" l="1"/>
  <c r="D25" i="9"/>
  <c r="E21" i="9"/>
  <c r="E22" i="9"/>
  <c r="E7" i="8"/>
  <c r="E8" i="8"/>
  <c r="E25" i="9"/>
  <c r="E13" i="9"/>
  <c r="E14" i="9"/>
  <c r="E27" i="9"/>
  <c r="E9" i="8"/>
  <c r="E23" i="9"/>
  <c r="D13" i="9" l="1"/>
  <c r="D14" i="9" s="1"/>
  <c r="D21" i="9" s="1"/>
  <c r="G11" i="9"/>
  <c r="D11" i="9"/>
  <c r="D19" i="8"/>
  <c r="D17" i="8"/>
  <c r="D16" i="8"/>
  <c r="D15" i="8"/>
  <c r="D9" i="8"/>
  <c r="D8" i="8"/>
  <c r="D7" i="8"/>
  <c r="E17" i="8"/>
  <c r="E16" i="8"/>
  <c r="E15" i="8"/>
  <c r="E19" i="8"/>
  <c r="D22" i="9" l="1"/>
  <c r="D23" i="9" s="1"/>
  <c r="E22" i="7"/>
  <c r="E19" i="7"/>
  <c r="E20" i="7" s="1"/>
  <c r="D18" i="6"/>
  <c r="D14" i="6"/>
  <c r="D15" i="6" s="1"/>
  <c r="D16" i="6" s="1"/>
  <c r="E18" i="6"/>
  <c r="E14" i="6"/>
  <c r="F20" i="7"/>
  <c r="F22" i="7"/>
  <c r="E15" i="6"/>
  <c r="E16" i="6"/>
  <c r="F19" i="7"/>
  <c r="E8" i="4" l="1"/>
  <c r="E7" i="4"/>
  <c r="E32" i="5"/>
  <c r="E31" i="5"/>
  <c r="E22" i="5"/>
  <c r="E23" i="5" s="1"/>
  <c r="E24" i="5" s="1"/>
  <c r="E15" i="5"/>
  <c r="E16" i="5" s="1"/>
  <c r="E17" i="5" s="1"/>
  <c r="E12" i="5"/>
  <c r="F12" i="5"/>
  <c r="F31" i="5"/>
  <c r="F23" i="5"/>
  <c r="F24" i="5"/>
  <c r="F8" i="4"/>
  <c r="F22" i="5"/>
  <c r="F16" i="5"/>
  <c r="F17" i="5"/>
  <c r="F15" i="5"/>
  <c r="F7" i="4"/>
  <c r="F32" i="5"/>
  <c r="E12" i="4" l="1"/>
  <c r="F12" i="4"/>
  <c r="D29" i="3" l="1"/>
  <c r="D28" i="3"/>
  <c r="D24" i="3"/>
  <c r="D23" i="3"/>
  <c r="D22" i="3"/>
  <c r="D21" i="3"/>
  <c r="D14" i="3"/>
  <c r="D15" i="3" s="1"/>
  <c r="D10" i="3"/>
  <c r="D16" i="3" s="1"/>
  <c r="E14" i="3"/>
  <c r="E16" i="3"/>
  <c r="E24" i="3"/>
  <c r="E28" i="3"/>
  <c r="E17" i="3"/>
  <c r="E29" i="3"/>
  <c r="E23" i="3"/>
  <c r="E21" i="3"/>
  <c r="E10" i="3"/>
  <c r="E15" i="3"/>
  <c r="E22" i="3"/>
  <c r="D17" i="3" l="1"/>
  <c r="D30" i="2"/>
  <c r="D29" i="2"/>
  <c r="D25" i="2"/>
  <c r="D24" i="2"/>
  <c r="D23" i="2"/>
  <c r="D22" i="2"/>
  <c r="D18" i="2"/>
  <c r="D17" i="2"/>
  <c r="D11" i="2"/>
  <c r="D10" i="2"/>
  <c r="D16" i="2"/>
  <c r="D15" i="2"/>
  <c r="D9" i="2"/>
  <c r="E29" i="2"/>
  <c r="E17" i="2"/>
  <c r="E22" i="2"/>
  <c r="E25" i="2"/>
  <c r="E10" i="2"/>
  <c r="E24" i="2"/>
  <c r="E23" i="2"/>
  <c r="E30" i="2"/>
  <c r="E15" i="2"/>
  <c r="E16" i="2"/>
  <c r="E18" i="2"/>
  <c r="E9" i="2"/>
  <c r="E11" i="2"/>
</calcChain>
</file>

<file path=xl/sharedStrings.xml><?xml version="1.0" encoding="utf-8"?>
<sst xmlns="http://schemas.openxmlformats.org/spreadsheetml/2006/main" count="224" uniqueCount="162">
  <si>
    <t xml:space="preserve">α = </t>
  </si>
  <si>
    <t>Zα =</t>
  </si>
  <si>
    <t xml:space="preserve">Here, Lower limit = </t>
  </si>
  <si>
    <t>Solution:-Here, we have</t>
  </si>
  <si>
    <t xml:space="preserve">Sample proportion (p) = </t>
  </si>
  <si>
    <t>Here, C.I. (1-α) =</t>
  </si>
  <si>
    <t xml:space="preserve">Zα = </t>
  </si>
  <si>
    <t>q =</t>
  </si>
  <si>
    <t>S.E(p) =</t>
  </si>
  <si>
    <t>Upper Limit =</t>
  </si>
  <si>
    <t>For ii) 90% Confidence interval for Population mean</t>
  </si>
  <si>
    <t xml:space="preserve">For iii) For probably lie, we should take </t>
  </si>
  <si>
    <t>Here, Lower limit =</t>
  </si>
  <si>
    <t>Sample Size (n) =</t>
  </si>
  <si>
    <t xml:space="preserve"> </t>
  </si>
  <si>
    <t>No of smoker(x) =</t>
  </si>
  <si>
    <t>In a sample of 200 employees, number of smoker found is 75.</t>
  </si>
  <si>
    <t>Construct i) 99% C.I. for population proportion of smoker.</t>
  </si>
  <si>
    <t>ii) 90% C.I. for population proportion.</t>
  </si>
  <si>
    <t>iii) Confidence interval such that population proportion of smoker certainly lie.</t>
  </si>
  <si>
    <t>For i) 99% Confidence interval for Population proportion</t>
  </si>
  <si>
    <t xml:space="preserve">Sample size(n) = </t>
  </si>
  <si>
    <t>Sample mean(x*) =</t>
  </si>
  <si>
    <t>Sample SD (σ) =</t>
  </si>
  <si>
    <t>S.E(x*) =</t>
  </si>
  <si>
    <t>For i) 95% C.I. for Population mean</t>
  </si>
  <si>
    <t xml:space="preserve">Here, C.I. (1-α) = </t>
  </si>
  <si>
    <t>Here, Lower Limit =</t>
  </si>
  <si>
    <t>For ii) 92% C.I. for Population mean</t>
  </si>
  <si>
    <t xml:space="preserve"> α =</t>
  </si>
  <si>
    <t>For iii) For probably lie, we should take</t>
  </si>
  <si>
    <t>Solution:- Here, We have</t>
  </si>
  <si>
    <t>Name = Binika Katuwal</t>
  </si>
  <si>
    <t>In a sample of 256 students, average marks is found to be 56 with standard deviation 12.</t>
  </si>
  <si>
    <t>Construct i)95% C.I. for Population mean.</t>
  </si>
  <si>
    <t>ii) 92% C.I. for Population mean.</t>
  </si>
  <si>
    <t>iii) Confidence interval such that population mean will probably lie.</t>
  </si>
  <si>
    <t>Name = Aditi Rajbhandari</t>
  </si>
  <si>
    <t>A Researcher wishes to estimate the average of an attribute by using sampling</t>
  </si>
  <si>
    <t>techniques with 93% confidence and error not more than 2. If population SD is 22,</t>
  </si>
  <si>
    <t>Compute the appropriate sample size.</t>
  </si>
  <si>
    <t>Solution:- Here, we have</t>
  </si>
  <si>
    <t xml:space="preserve">Confidence level   (1-α) = </t>
  </si>
  <si>
    <t xml:space="preserve">            Max. permissable error ( E ) = </t>
  </si>
  <si>
    <t xml:space="preserve">     Pop. S.D(σ) = </t>
  </si>
  <si>
    <t xml:space="preserve">Now, Required Sample Size (n) = </t>
  </si>
  <si>
    <t>Hence, Required Sample size is 398.</t>
  </si>
  <si>
    <t xml:space="preserve">An observer wishes to estimate the population proportion of smoker by using sampling </t>
  </si>
  <si>
    <t>technique with error not more than 8%. If previous study shows that proportion of smoker</t>
  </si>
  <si>
    <t>was 30%. Compute the appropriate sample size</t>
  </si>
  <si>
    <t>(i) If he wishes to be 95% confident.</t>
  </si>
  <si>
    <t xml:space="preserve">(ii) If he wishes to be 99% confident. </t>
  </si>
  <si>
    <t xml:space="preserve">(iii) If he wishes to be almost certain and information about pop. Proportion is </t>
  </si>
  <si>
    <t xml:space="preserve">not given. </t>
  </si>
  <si>
    <t xml:space="preserve">                  Max. permissable error( E ) =</t>
  </si>
  <si>
    <t>Pop. Prop. (P) =</t>
  </si>
  <si>
    <t xml:space="preserve">              </t>
  </si>
  <si>
    <t xml:space="preserve">Q = </t>
  </si>
  <si>
    <t>For (i)</t>
  </si>
  <si>
    <t xml:space="preserve">Here, C.I.(1-α) = </t>
  </si>
  <si>
    <t xml:space="preserve">Now, Required Sample size (n) = </t>
  </si>
  <si>
    <t>Hence, Required Sample Size is 127.</t>
  </si>
  <si>
    <t>For (ii)</t>
  </si>
  <si>
    <t>Hence, Required Sample Size is 217.</t>
  </si>
  <si>
    <t>For (iii)</t>
  </si>
  <si>
    <t>Here, for almost certain</t>
  </si>
  <si>
    <t>If value of P is not given, we use P =</t>
  </si>
  <si>
    <t xml:space="preserve">Now,Required Sample Size (n) = </t>
  </si>
  <si>
    <t>Hence,Required Sample Size is 352.</t>
  </si>
  <si>
    <t xml:space="preserve">A sample of size 250 is drawn and mean is found to be 90.  Test at 6% level of significance </t>
  </si>
  <si>
    <t>that whether it was drawn form population with mean 93 and SD 10 or not.</t>
  </si>
  <si>
    <t>Solution :- Here we have</t>
  </si>
  <si>
    <t xml:space="preserve">Sample mean (x*) = </t>
  </si>
  <si>
    <t xml:space="preserve">Pop. Mean (µ) = </t>
  </si>
  <si>
    <t>Pop.SD(σ) =</t>
  </si>
  <si>
    <t>Here , we set up Hypothesis as</t>
  </si>
  <si>
    <t xml:space="preserve">S.E(X*) = </t>
  </si>
  <si>
    <r>
      <t>Z</t>
    </r>
    <r>
      <rPr>
        <vertAlign val="subscript"/>
        <sz val="12"/>
        <color theme="1"/>
        <rFont val="Times New Roman"/>
        <family val="1"/>
      </rPr>
      <t xml:space="preserve">cal </t>
    </r>
    <r>
      <rPr>
        <sz val="12"/>
        <color theme="1"/>
        <rFont val="Times New Roman"/>
        <family val="1"/>
      </rPr>
      <t xml:space="preserve">= </t>
    </r>
  </si>
  <si>
    <r>
      <t>|Z</t>
    </r>
    <r>
      <rPr>
        <vertAlign val="subscript"/>
        <sz val="12"/>
        <color theme="1"/>
        <rFont val="Times New Roman"/>
        <family val="1"/>
      </rPr>
      <t>cal</t>
    </r>
    <r>
      <rPr>
        <sz val="12"/>
        <color theme="1"/>
        <rFont val="Times New Roman"/>
        <family val="1"/>
      </rPr>
      <t xml:space="preserve">.| = </t>
    </r>
  </si>
  <si>
    <t xml:space="preserve">Level of significance (α ) = </t>
  </si>
  <si>
    <r>
      <t>Z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 xml:space="preserve"> = </t>
    </r>
  </si>
  <si>
    <t>conclusion that sample is drawn from different population.</t>
  </si>
  <si>
    <t>Name : Aditi Rajbhandari</t>
  </si>
  <si>
    <t>From the following information , state whether Company A is superior to</t>
  </si>
  <si>
    <t>Company B or not.</t>
  </si>
  <si>
    <t>For company A</t>
  </si>
  <si>
    <t>For company B</t>
  </si>
  <si>
    <r>
      <t>n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= </t>
    </r>
  </si>
  <si>
    <r>
      <t>n</t>
    </r>
    <r>
      <rPr>
        <b/>
        <vertAlign val="subscript"/>
        <sz val="12"/>
        <color theme="1"/>
        <rFont val="Times New Roman"/>
        <family val="1"/>
      </rPr>
      <t xml:space="preserve">1 </t>
    </r>
    <r>
      <rPr>
        <b/>
        <sz val="12"/>
        <color theme="1"/>
        <rFont val="Times New Roman"/>
        <family val="1"/>
      </rPr>
      <t xml:space="preserve">= </t>
    </r>
  </si>
  <si>
    <r>
      <t>x*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= </t>
    </r>
  </si>
  <si>
    <r>
      <t>x*</t>
    </r>
    <r>
      <rPr>
        <b/>
        <vertAlign val="subscript"/>
        <sz val="12"/>
        <color theme="1"/>
        <rFont val="Times New Roman"/>
        <family val="1"/>
      </rPr>
      <t xml:space="preserve">2 </t>
    </r>
    <r>
      <rPr>
        <b/>
        <sz val="12"/>
        <color theme="1"/>
        <rFont val="Times New Roman"/>
        <family val="1"/>
      </rPr>
      <t>=</t>
    </r>
  </si>
  <si>
    <r>
      <t>s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= </t>
    </r>
  </si>
  <si>
    <r>
      <t>s</t>
    </r>
    <r>
      <rPr>
        <b/>
        <vertAlign val="subscript"/>
        <sz val="12"/>
        <color theme="1"/>
        <rFont val="Times New Roman"/>
        <family val="1"/>
      </rPr>
      <t xml:space="preserve">2 </t>
    </r>
    <r>
      <rPr>
        <b/>
        <sz val="12"/>
        <color theme="1"/>
        <rFont val="Times New Roman"/>
        <family val="1"/>
      </rPr>
      <t xml:space="preserve">= </t>
    </r>
  </si>
  <si>
    <t>Solution: - Here we have</t>
  </si>
  <si>
    <t>For Company A</t>
  </si>
  <si>
    <t>For Company B</t>
  </si>
  <si>
    <r>
      <t>n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 </t>
    </r>
  </si>
  <si>
    <r>
      <t>n</t>
    </r>
    <r>
      <rPr>
        <vertAlign val="subscript"/>
        <sz val="12"/>
        <color theme="1"/>
        <rFont val="Times New Roman"/>
        <family val="1"/>
      </rPr>
      <t xml:space="preserve">1 </t>
    </r>
    <r>
      <rPr>
        <sz val="12"/>
        <color theme="1"/>
        <rFont val="Times New Roman"/>
        <family val="1"/>
      </rPr>
      <t xml:space="preserve">= </t>
    </r>
  </si>
  <si>
    <r>
      <t>x*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 </t>
    </r>
  </si>
  <si>
    <r>
      <t>x*</t>
    </r>
    <r>
      <rPr>
        <vertAlign val="subscript"/>
        <sz val="12"/>
        <color theme="1"/>
        <rFont val="Times New Roman"/>
        <family val="1"/>
      </rPr>
      <t xml:space="preserve">2 </t>
    </r>
    <r>
      <rPr>
        <sz val="12"/>
        <color theme="1"/>
        <rFont val="Times New Roman"/>
        <family val="1"/>
      </rPr>
      <t>=</t>
    </r>
  </si>
  <si>
    <r>
      <t>s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 </t>
    </r>
  </si>
  <si>
    <r>
      <t>s</t>
    </r>
    <r>
      <rPr>
        <vertAlign val="subscript"/>
        <sz val="12"/>
        <color theme="1"/>
        <rFont val="Times New Roman"/>
        <family val="1"/>
      </rPr>
      <t xml:space="preserve">2 </t>
    </r>
    <r>
      <rPr>
        <sz val="12"/>
        <color theme="1"/>
        <rFont val="Times New Roman"/>
        <family val="1"/>
      </rPr>
      <t xml:space="preserve">= </t>
    </r>
  </si>
  <si>
    <r>
      <t>H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: µ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 µ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i.e There is significant difference between two companies.</t>
    </r>
  </si>
  <si>
    <r>
      <t>H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: µ1 &gt; µ2 i.e Company A is Superior to Company B.</t>
    </r>
  </si>
  <si>
    <t>Under H0 ,test statistics</t>
  </si>
  <si>
    <r>
      <t>S.E(x*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- x*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) = </t>
    </r>
  </si>
  <si>
    <r>
      <t>Decision: - Since Z</t>
    </r>
    <r>
      <rPr>
        <vertAlign val="subscript"/>
        <sz val="12"/>
        <color theme="1"/>
        <rFont val="Times New Roman"/>
        <family val="1"/>
      </rPr>
      <t>cal</t>
    </r>
    <r>
      <rPr>
        <sz val="12"/>
        <color theme="1"/>
        <rFont val="Times New Roman"/>
        <family val="1"/>
      </rPr>
      <t xml:space="preserve"> &gt; Z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 xml:space="preserve"> ,we reject H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and accept H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with the </t>
    </r>
  </si>
  <si>
    <t>For One Tailed Test,</t>
  </si>
  <si>
    <t>conclusion that Company A is Superior to Company B</t>
  </si>
  <si>
    <r>
      <t>H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: µ = 0 i.e Sample is drawn from given population.</t>
    </r>
  </si>
  <si>
    <r>
      <t>H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: µ ≠ 0 i.e Sample is drawn from different poppulation.</t>
    </r>
  </si>
  <si>
    <r>
      <t>Under H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, test statistics</t>
    </r>
  </si>
  <si>
    <t>whether the dice is unbiased or not.</t>
  </si>
  <si>
    <t>A dice is rolled 1024 times and face six is observed 160 times, test at 7% level of significance,</t>
  </si>
  <si>
    <t xml:space="preserve">Solution:- Here, We have </t>
  </si>
  <si>
    <t>Sample Size(n) =</t>
  </si>
  <si>
    <t>no. of Six face(x) =</t>
  </si>
  <si>
    <t>Sample prop.(p) =</t>
  </si>
  <si>
    <t>Pop. Prop.(P) =</t>
  </si>
  <si>
    <t>Q =</t>
  </si>
  <si>
    <r>
      <t>H</t>
    </r>
    <r>
      <rPr>
        <vertAlign val="subscript"/>
        <sz val="12"/>
        <color theme="1"/>
        <rFont val="Times New Roman"/>
        <family val="1"/>
      </rPr>
      <t xml:space="preserve">0 </t>
    </r>
    <r>
      <rPr>
        <sz val="12"/>
        <color theme="1"/>
        <rFont val="Times New Roman"/>
        <family val="1"/>
      </rPr>
      <t>: P =1/6 i.e. Dice is unbiased.</t>
    </r>
  </si>
  <si>
    <r>
      <t>H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: P ≠ 1/6 i.e Dice  is biased.</t>
    </r>
  </si>
  <si>
    <t xml:space="preserve">S.E(p) = </t>
  </si>
  <si>
    <t>conclusion that Dice is unbiased.</t>
  </si>
  <si>
    <r>
      <t>Decision:- Since, Z</t>
    </r>
    <r>
      <rPr>
        <vertAlign val="subscript"/>
        <sz val="12"/>
        <color theme="1"/>
        <rFont val="Times New Roman"/>
        <family val="1"/>
      </rPr>
      <t xml:space="preserve">cal </t>
    </r>
    <r>
      <rPr>
        <sz val="12"/>
        <color theme="1"/>
        <rFont val="Times New Roman"/>
        <family val="1"/>
      </rPr>
      <t>&lt; Z</t>
    </r>
    <r>
      <rPr>
        <vertAlign val="subscript"/>
        <sz val="12"/>
        <color theme="1"/>
        <rFont val="Times New Roman"/>
        <family val="1"/>
      </rPr>
      <t>tab.</t>
    </r>
    <r>
      <rPr>
        <sz val="12"/>
        <color theme="1"/>
        <rFont val="Times New Roman"/>
        <family val="1"/>
      </rPr>
      <t xml:space="preserve"> We accept H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and reject H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with the </t>
    </r>
  </si>
  <si>
    <t>From the following information , state whether City A is more literate than City B or not.</t>
  </si>
  <si>
    <t>Test at 92% Confidence Level</t>
  </si>
  <si>
    <t>For City A</t>
  </si>
  <si>
    <t>For City B</t>
  </si>
  <si>
    <t>No. of Person</t>
  </si>
  <si>
    <t xml:space="preserve">No. of Literate </t>
  </si>
  <si>
    <r>
      <t>x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= </t>
    </r>
  </si>
  <si>
    <r>
      <t>x</t>
    </r>
    <r>
      <rPr>
        <b/>
        <vertAlign val="subscript"/>
        <sz val="12"/>
        <color theme="1"/>
        <rFont val="Times New Roman"/>
        <family val="1"/>
      </rPr>
      <t xml:space="preserve">2 </t>
    </r>
    <r>
      <rPr>
        <b/>
        <sz val="12"/>
        <color theme="1"/>
        <rFont val="Times New Roman"/>
        <family val="1"/>
      </rPr>
      <t>=</t>
    </r>
  </si>
  <si>
    <t>Solution:- Here, We have,</t>
  </si>
  <si>
    <r>
      <t>x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 </t>
    </r>
  </si>
  <si>
    <r>
      <t>x</t>
    </r>
    <r>
      <rPr>
        <vertAlign val="subscript"/>
        <sz val="12"/>
        <color theme="1"/>
        <rFont val="Times New Roman"/>
        <family val="1"/>
      </rPr>
      <t xml:space="preserve">2 </t>
    </r>
    <r>
      <rPr>
        <sz val="12"/>
        <color theme="1"/>
        <rFont val="Times New Roman"/>
        <family val="1"/>
      </rPr>
      <t>=</t>
    </r>
  </si>
  <si>
    <r>
      <t>p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</t>
    </r>
  </si>
  <si>
    <r>
      <t>p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=</t>
    </r>
  </si>
  <si>
    <t>Combined Prop.(P) =</t>
  </si>
  <si>
    <r>
      <t>H</t>
    </r>
    <r>
      <rPr>
        <vertAlign val="subscript"/>
        <sz val="12"/>
        <color theme="1"/>
        <rFont val="Times New Roman"/>
        <family val="1"/>
      </rPr>
      <t xml:space="preserve">0 </t>
    </r>
    <r>
      <rPr>
        <sz val="12"/>
        <color theme="1"/>
        <rFont val="Times New Roman"/>
        <family val="1"/>
      </rPr>
      <t>: P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 P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i.e. There is no significant difference in literacy rate of two cities.</t>
    </r>
  </si>
  <si>
    <r>
      <t>H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: P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&gt; P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i.e. City A has more literacy rate than City B.</t>
    </r>
  </si>
  <si>
    <t>C.I.(1-α) =</t>
  </si>
  <si>
    <r>
      <t>Decision:  Since, Z</t>
    </r>
    <r>
      <rPr>
        <vertAlign val="subscript"/>
        <sz val="12"/>
        <color theme="1"/>
        <rFont val="Times New Roman"/>
        <family val="1"/>
      </rPr>
      <t>cal</t>
    </r>
    <r>
      <rPr>
        <sz val="12"/>
        <color theme="1"/>
        <rFont val="Times New Roman"/>
        <family val="1"/>
      </rPr>
      <t xml:space="preserve"> &lt; Z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>., we accept H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and reject H</t>
    </r>
    <r>
      <rPr>
        <vertAlign val="subscript"/>
        <sz val="12"/>
        <color theme="1"/>
        <rFont val="Times New Roman"/>
        <family val="1"/>
      </rPr>
      <t xml:space="preserve">1 </t>
    </r>
    <r>
      <rPr>
        <sz val="12"/>
        <color theme="1"/>
        <rFont val="Times New Roman"/>
        <family val="1"/>
      </rPr>
      <t>with the conclusion that</t>
    </r>
  </si>
  <si>
    <t>For One tailed test,</t>
  </si>
  <si>
    <r>
      <t>Under H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, Test Statistics,</t>
    </r>
  </si>
  <si>
    <t>there is no significant difference in literacy rate of two cities.</t>
  </si>
  <si>
    <t>From the data given below, test whether the average expenditure per day of a family is 1500 per day</t>
  </si>
  <si>
    <t>Sample size (n) =</t>
  </si>
  <si>
    <r>
      <t>Pop. Mean (</t>
    </r>
    <r>
      <rPr>
        <sz val="12"/>
        <color theme="1"/>
        <rFont val="Calibri"/>
        <family val="2"/>
      </rPr>
      <t>µ</t>
    </r>
    <r>
      <rPr>
        <sz val="12"/>
        <color theme="1"/>
        <rFont val="Times New Roman"/>
        <family val="1"/>
      </rPr>
      <t>) =</t>
    </r>
  </si>
  <si>
    <t>Sample Mean (x*) =</t>
  </si>
  <si>
    <t>Sample S.D.(S) =</t>
  </si>
  <si>
    <t>Here, We set up hypothesis as</t>
  </si>
  <si>
    <r>
      <t>H</t>
    </r>
    <r>
      <rPr>
        <vertAlign val="subscript"/>
        <sz val="12"/>
        <color theme="1"/>
        <rFont val="Times New Roman"/>
        <family val="1"/>
      </rPr>
      <t xml:space="preserve">0 </t>
    </r>
    <r>
      <rPr>
        <sz val="12"/>
        <color theme="1"/>
        <rFont val="Times New Roman"/>
        <family val="1"/>
      </rPr>
      <t>: µ = 1500 i.e. Averaage expenditure of a family is Rs. 1500.</t>
    </r>
  </si>
  <si>
    <r>
      <t>H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: µ ≠ 1500 i.e. Averaage expenditure of a family is other than Rs. 1500.</t>
    </r>
  </si>
  <si>
    <t xml:space="preserve">C.I. (1-α)  = </t>
  </si>
  <si>
    <t>that average expenditure of a family is Rs. 1500.</t>
  </si>
  <si>
    <r>
      <t>t</t>
    </r>
    <r>
      <rPr>
        <vertAlign val="subscript"/>
        <sz val="12"/>
        <color theme="1"/>
        <rFont val="Times New Roman"/>
        <family val="1"/>
      </rPr>
      <t>cal.</t>
    </r>
    <r>
      <rPr>
        <sz val="12"/>
        <color theme="1"/>
        <rFont val="Times New Roman"/>
        <family val="1"/>
      </rPr>
      <t xml:space="preserve">= </t>
    </r>
  </si>
  <si>
    <t>d.f. =</t>
  </si>
  <si>
    <r>
      <t>t</t>
    </r>
    <r>
      <rPr>
        <vertAlign val="subscript"/>
        <sz val="12"/>
        <color theme="1"/>
        <rFont val="Times New Roman"/>
        <family val="1"/>
      </rPr>
      <t xml:space="preserve">tab. </t>
    </r>
    <r>
      <rPr>
        <sz val="12"/>
        <color theme="1"/>
        <rFont val="Times New Roman"/>
        <family val="1"/>
      </rPr>
      <t>=</t>
    </r>
  </si>
  <si>
    <t>at  90% confidence level.</t>
  </si>
  <si>
    <r>
      <t>Decision:- Since, t</t>
    </r>
    <r>
      <rPr>
        <vertAlign val="subscript"/>
        <sz val="12"/>
        <color theme="1"/>
        <rFont val="Times New Roman"/>
        <family val="1"/>
      </rPr>
      <t xml:space="preserve">cal. </t>
    </r>
    <r>
      <rPr>
        <sz val="12"/>
        <color theme="1"/>
        <rFont val="Times New Roman"/>
        <family val="1"/>
      </rPr>
      <t xml:space="preserve"> &lt; t</t>
    </r>
    <r>
      <rPr>
        <vertAlign val="subscript"/>
        <sz val="12"/>
        <color theme="1"/>
        <rFont val="Times New Roman"/>
        <family val="1"/>
      </rPr>
      <t>tab</t>
    </r>
    <r>
      <rPr>
        <sz val="12"/>
        <color theme="1"/>
        <rFont val="Times New Roman"/>
        <family val="1"/>
      </rPr>
      <t xml:space="preserve"> ,we accept H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 xml:space="preserve"> and reject H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with the conclusion </t>
    </r>
  </si>
  <si>
    <t>Name = Hari Bashyal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</si>
</sst>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vertAlign val="subscript"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Fill="1"/>
    <xf numFmtId="0" fontId="1" fillId="0" borderId="0" xfId="0" applyFont="1" applyAlignment="1">
      <alignment horizontal="right"/>
    </xf>
    <xf numFmtId="0" fontId="6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1" fillId="0" borderId="0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H30" sqref="H30"/>
    </sheetView>
  </sheetViews>
  <sheetFormatPr defaultRowHeight="14.5" x14ac:dyDescent="0.35"/>
  <cols>
    <col min="1" max="1" width="11.1796875" customWidth="1"/>
  </cols>
  <sheetData>
    <row r="1" spans="1:12" ht="15.5" x14ac:dyDescent="0.35">
      <c r="A1" s="1" t="s">
        <v>33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5" x14ac:dyDescent="0.35">
      <c r="A2" s="1" t="s">
        <v>34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5" x14ac:dyDescent="0.35">
      <c r="A3" s="1"/>
      <c r="B3" s="1" t="s">
        <v>35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5" x14ac:dyDescent="0.35">
      <c r="A4" s="1"/>
      <c r="B4" s="1" t="s">
        <v>36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5" x14ac:dyDescent="0.35">
      <c r="A6" s="2" t="s">
        <v>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5" x14ac:dyDescent="0.35">
      <c r="A7" s="2"/>
      <c r="B7" s="6"/>
      <c r="C7" s="6" t="s">
        <v>21</v>
      </c>
      <c r="D7" s="4">
        <v>256</v>
      </c>
      <c r="E7" s="3"/>
      <c r="F7" s="3"/>
      <c r="G7" s="2"/>
      <c r="H7" s="2"/>
      <c r="I7" s="2"/>
      <c r="J7" s="2"/>
      <c r="K7" s="2"/>
      <c r="L7" s="2"/>
    </row>
    <row r="8" spans="1:12" ht="15.5" x14ac:dyDescent="0.35">
      <c r="A8" s="2"/>
      <c r="B8" s="6"/>
      <c r="C8" s="6" t="s">
        <v>22</v>
      </c>
      <c r="D8" s="4">
        <v>56</v>
      </c>
      <c r="E8" s="3"/>
      <c r="F8" s="3"/>
      <c r="G8" s="2"/>
      <c r="H8" s="2"/>
      <c r="I8" s="2"/>
      <c r="J8" s="2"/>
      <c r="K8" s="2"/>
      <c r="L8" s="2"/>
    </row>
    <row r="9" spans="1:12" ht="15.5" x14ac:dyDescent="0.35">
      <c r="A9" s="2"/>
      <c r="B9" s="6"/>
      <c r="C9" s="6" t="s">
        <v>23</v>
      </c>
      <c r="D9" s="4">
        <v>12</v>
      </c>
      <c r="E9" s="3"/>
      <c r="F9" s="3"/>
      <c r="G9" s="2"/>
      <c r="H9" s="2"/>
      <c r="I9" s="2"/>
      <c r="J9" s="2"/>
      <c r="K9" s="2"/>
      <c r="L9" s="2"/>
    </row>
    <row r="10" spans="1:12" ht="15.5" x14ac:dyDescent="0.35">
      <c r="A10" s="2"/>
      <c r="B10" s="6"/>
      <c r="C10" s="6" t="s">
        <v>24</v>
      </c>
      <c r="D10" s="4">
        <f>D9/SQRT(D7)</f>
        <v>0.75</v>
      </c>
      <c r="E10" s="3" t="str">
        <f ca="1">_xlfn.FORMULATEXT(D10)</f>
        <v>=D9/SQRT(D7)</v>
      </c>
      <c r="F10" s="3"/>
      <c r="G10" s="2"/>
      <c r="H10" s="2"/>
      <c r="I10" s="2"/>
      <c r="J10" s="2"/>
      <c r="K10" s="2"/>
      <c r="L10" s="2"/>
    </row>
    <row r="11" spans="1:12" ht="15.5" x14ac:dyDescent="0.35">
      <c r="A11" s="2"/>
      <c r="B11" s="6"/>
      <c r="C11" s="6"/>
      <c r="D11" s="4"/>
      <c r="E11" s="3"/>
      <c r="F11" s="3"/>
      <c r="G11" s="2"/>
      <c r="H11" s="2"/>
      <c r="I11" s="2"/>
      <c r="J11" s="2"/>
      <c r="K11" s="2"/>
      <c r="L11" s="2"/>
    </row>
    <row r="12" spans="1:12" ht="15.5" x14ac:dyDescent="0.35">
      <c r="A12" s="2" t="s">
        <v>25</v>
      </c>
      <c r="B12" s="6"/>
      <c r="C12" s="6"/>
      <c r="D12" s="4"/>
      <c r="E12" s="3"/>
      <c r="F12" s="3"/>
      <c r="G12" s="2"/>
      <c r="H12" s="2"/>
      <c r="I12" s="2"/>
      <c r="J12" s="2"/>
      <c r="K12" s="2"/>
      <c r="L12" s="2"/>
    </row>
    <row r="13" spans="1:12" ht="15.5" x14ac:dyDescent="0.35">
      <c r="A13" s="2"/>
      <c r="B13" s="6"/>
      <c r="C13" s="6" t="s">
        <v>26</v>
      </c>
      <c r="D13" s="4">
        <v>0.95</v>
      </c>
      <c r="E13" s="3"/>
      <c r="F13" s="3"/>
      <c r="G13" s="2"/>
      <c r="H13" s="2"/>
      <c r="I13" s="2"/>
      <c r="J13" s="2"/>
      <c r="K13" s="2"/>
      <c r="L13" s="2"/>
    </row>
    <row r="14" spans="1:12" ht="15.5" x14ac:dyDescent="0.35">
      <c r="A14" s="2"/>
      <c r="B14" s="6"/>
      <c r="C14" s="6" t="s">
        <v>0</v>
      </c>
      <c r="D14" s="4">
        <f>1-D13</f>
        <v>5.0000000000000044E-2</v>
      </c>
      <c r="E14" s="3" t="str">
        <f ca="1">_xlfn.FORMULATEXT(D14)</f>
        <v>=1-D13</v>
      </c>
      <c r="F14" s="3"/>
      <c r="G14" s="2"/>
      <c r="H14" s="2"/>
      <c r="I14" s="2"/>
      <c r="J14" s="2"/>
      <c r="K14" s="2"/>
      <c r="L14" s="2"/>
    </row>
    <row r="15" spans="1:12" ht="15.5" x14ac:dyDescent="0.35">
      <c r="A15" s="2"/>
      <c r="B15" s="6"/>
      <c r="C15" s="6" t="s">
        <v>1</v>
      </c>
      <c r="D15" s="4">
        <f>NORMSINV(1-D14/2)</f>
        <v>1.9599639845400536</v>
      </c>
      <c r="E15" s="3" t="str">
        <f t="shared" ref="E15:E17" ca="1" si="0">_xlfn.FORMULATEXT(D15)</f>
        <v>=NORMSINV(1-D14/2)</v>
      </c>
      <c r="F15" s="3"/>
      <c r="G15" s="2"/>
      <c r="H15" s="2"/>
      <c r="I15" s="2"/>
      <c r="J15" s="2"/>
      <c r="K15" s="2"/>
      <c r="L15" s="2"/>
    </row>
    <row r="16" spans="1:12" ht="15.5" x14ac:dyDescent="0.35">
      <c r="A16" s="2"/>
      <c r="B16" s="6"/>
      <c r="C16" s="6" t="s">
        <v>27</v>
      </c>
      <c r="D16" s="4">
        <f>D8-D10*D15</f>
        <v>54.53002701159496</v>
      </c>
      <c r="E16" s="3" t="str">
        <f t="shared" ca="1" si="0"/>
        <v>=D8-D10*D15</v>
      </c>
      <c r="F16" s="3"/>
      <c r="G16" s="2"/>
      <c r="H16" s="2"/>
      <c r="I16" s="2"/>
      <c r="J16" s="2"/>
      <c r="K16" s="2"/>
      <c r="L16" s="2"/>
    </row>
    <row r="17" spans="1:12" ht="15.5" x14ac:dyDescent="0.35">
      <c r="A17" s="2"/>
      <c r="B17" s="6"/>
      <c r="C17" s="6" t="s">
        <v>9</v>
      </c>
      <c r="D17" s="4">
        <f>D8+D10*D15</f>
        <v>57.46997298840504</v>
      </c>
      <c r="E17" s="3" t="str">
        <f t="shared" ca="1" si="0"/>
        <v>=D8+D10*D15</v>
      </c>
      <c r="F17" s="3"/>
      <c r="G17" s="2"/>
      <c r="H17" s="2"/>
      <c r="I17" s="2"/>
      <c r="J17" s="2"/>
      <c r="K17" s="2"/>
      <c r="L17" s="2"/>
    </row>
    <row r="18" spans="1:12" ht="15.5" x14ac:dyDescent="0.35">
      <c r="A18" s="2"/>
      <c r="B18" s="6"/>
      <c r="C18" s="6"/>
      <c r="D18" s="4"/>
      <c r="E18" s="3"/>
      <c r="F18" s="3"/>
      <c r="G18" s="2"/>
      <c r="H18" s="2"/>
      <c r="I18" s="2"/>
      <c r="J18" s="2"/>
      <c r="K18" s="2"/>
      <c r="L18" s="2"/>
    </row>
    <row r="19" spans="1:12" ht="15.5" x14ac:dyDescent="0.35">
      <c r="A19" s="2" t="s">
        <v>28</v>
      </c>
      <c r="B19" s="6"/>
      <c r="C19" s="6"/>
      <c r="D19" s="4"/>
      <c r="E19" s="3"/>
      <c r="F19" s="3"/>
      <c r="G19" s="2"/>
      <c r="H19" s="2"/>
      <c r="I19" s="2"/>
      <c r="J19" s="2"/>
      <c r="K19" s="2"/>
      <c r="L19" s="2"/>
    </row>
    <row r="20" spans="1:12" ht="15.5" x14ac:dyDescent="0.35">
      <c r="A20" s="2"/>
      <c r="B20" s="6"/>
      <c r="C20" s="6" t="s">
        <v>5</v>
      </c>
      <c r="D20" s="4">
        <v>0.92</v>
      </c>
      <c r="E20" s="3"/>
      <c r="F20" s="3"/>
      <c r="G20" s="2"/>
      <c r="H20" s="2"/>
      <c r="I20" s="2"/>
      <c r="J20" s="2"/>
      <c r="K20" s="2"/>
      <c r="L20" s="2"/>
    </row>
    <row r="21" spans="1:12" ht="15.5" x14ac:dyDescent="0.35">
      <c r="A21" s="2"/>
      <c r="B21" s="6"/>
      <c r="C21" s="6" t="s">
        <v>29</v>
      </c>
      <c r="D21" s="4">
        <f>1-D20</f>
        <v>7.999999999999996E-2</v>
      </c>
      <c r="E21" s="3" t="str">
        <f ca="1">_xlfn.FORMULATEXT(D21)</f>
        <v>=1-D20</v>
      </c>
      <c r="F21" s="3"/>
      <c r="G21" s="2"/>
      <c r="H21" s="2"/>
      <c r="I21" s="2"/>
      <c r="J21" s="2"/>
      <c r="K21" s="2"/>
      <c r="L21" s="2"/>
    </row>
    <row r="22" spans="1:12" ht="15.5" x14ac:dyDescent="0.35">
      <c r="A22" s="2"/>
      <c r="B22" s="6"/>
      <c r="C22" s="6" t="s">
        <v>1</v>
      </c>
      <c r="D22" s="4">
        <f>NORMSINV(1-D21/2)</f>
        <v>1.7506860712521695</v>
      </c>
      <c r="E22" s="3" t="str">
        <f t="shared" ref="E22:E24" ca="1" si="1">_xlfn.FORMULATEXT(D22)</f>
        <v>=NORMSINV(1-D21/2)</v>
      </c>
      <c r="F22" s="3"/>
      <c r="G22" s="2"/>
      <c r="H22" s="2"/>
      <c r="I22" s="2"/>
      <c r="J22" s="2"/>
      <c r="K22" s="2"/>
      <c r="L22" s="2"/>
    </row>
    <row r="23" spans="1:12" ht="15.5" x14ac:dyDescent="0.35">
      <c r="A23" s="2"/>
      <c r="B23" s="6"/>
      <c r="C23" s="6" t="s">
        <v>27</v>
      </c>
      <c r="D23" s="4">
        <f>D8-D10*D22</f>
        <v>54.686985446560875</v>
      </c>
      <c r="E23" s="3" t="str">
        <f t="shared" ca="1" si="1"/>
        <v>=D8-D10*D22</v>
      </c>
      <c r="F23" s="3"/>
      <c r="G23" s="2"/>
      <c r="H23" s="2"/>
      <c r="I23" s="2"/>
      <c r="J23" s="2"/>
      <c r="K23" s="2"/>
      <c r="L23" s="2"/>
    </row>
    <row r="24" spans="1:12" ht="15.5" x14ac:dyDescent="0.35">
      <c r="A24" s="2"/>
      <c r="B24" s="6"/>
      <c r="C24" s="6" t="s">
        <v>9</v>
      </c>
      <c r="D24" s="4">
        <f>D8+D10*D22</f>
        <v>57.313014553439125</v>
      </c>
      <c r="E24" s="3" t="str">
        <f t="shared" ca="1" si="1"/>
        <v>=D8+D10*D22</v>
      </c>
      <c r="F24" s="3"/>
      <c r="G24" s="2"/>
      <c r="H24" s="2"/>
      <c r="I24" s="2"/>
      <c r="J24" s="2"/>
      <c r="K24" s="2"/>
      <c r="L24" s="2"/>
    </row>
    <row r="25" spans="1:12" ht="15.5" x14ac:dyDescent="0.35">
      <c r="A25" s="2"/>
      <c r="B25" s="6"/>
      <c r="C25" s="6"/>
      <c r="D25" s="4"/>
      <c r="E25" s="3"/>
      <c r="F25" s="3"/>
      <c r="G25" s="2"/>
      <c r="H25" s="2"/>
      <c r="I25" s="2"/>
      <c r="J25" s="2"/>
      <c r="K25" s="2"/>
      <c r="L25" s="2"/>
    </row>
    <row r="26" spans="1:12" ht="15.5" x14ac:dyDescent="0.35">
      <c r="A26" s="2" t="s">
        <v>30</v>
      </c>
      <c r="B26" s="6"/>
      <c r="C26" s="6"/>
      <c r="D26" s="4"/>
      <c r="E26" s="3"/>
      <c r="F26" s="3"/>
      <c r="G26" s="2"/>
      <c r="H26" s="2"/>
      <c r="I26" s="2"/>
      <c r="J26" s="2"/>
      <c r="K26" s="2"/>
      <c r="L26" s="2"/>
    </row>
    <row r="27" spans="1:12" ht="15.5" x14ac:dyDescent="0.35">
      <c r="A27" s="2"/>
      <c r="B27" s="6"/>
      <c r="C27" s="6" t="s">
        <v>1</v>
      </c>
      <c r="D27" s="4">
        <v>3</v>
      </c>
      <c r="E27" s="3"/>
      <c r="F27" s="3"/>
      <c r="G27" s="2"/>
      <c r="H27" s="2"/>
      <c r="I27" s="2"/>
      <c r="J27" s="2"/>
      <c r="K27" s="2"/>
      <c r="L27" s="2"/>
    </row>
    <row r="28" spans="1:12" ht="15.5" x14ac:dyDescent="0.35">
      <c r="A28" s="2"/>
      <c r="B28" s="6"/>
      <c r="C28" s="6" t="s">
        <v>27</v>
      </c>
      <c r="D28" s="4">
        <f>D8-D10*D27</f>
        <v>53.75</v>
      </c>
      <c r="E28" s="3" t="str">
        <f ca="1">_xlfn.FORMULATEXT(D28)</f>
        <v>=D8-D10*D27</v>
      </c>
      <c r="F28" s="3"/>
      <c r="G28" s="2"/>
      <c r="H28" s="2"/>
      <c r="I28" s="2"/>
      <c r="J28" s="2"/>
      <c r="K28" s="2"/>
      <c r="L28" s="2"/>
    </row>
    <row r="29" spans="1:12" ht="15.5" x14ac:dyDescent="0.35">
      <c r="A29" s="2"/>
      <c r="B29" s="6"/>
      <c r="C29" s="6" t="s">
        <v>9</v>
      </c>
      <c r="D29" s="4">
        <f>D8+D10*D27</f>
        <v>58.25</v>
      </c>
      <c r="E29" s="3" t="str">
        <f ca="1">_xlfn.FORMULATEXT(D29)</f>
        <v>=D8+D10*D27</v>
      </c>
      <c r="F29" s="3"/>
      <c r="G29" s="2"/>
      <c r="H29" s="2"/>
      <c r="I29" s="2"/>
      <c r="J29" s="2"/>
      <c r="K29" s="2"/>
      <c r="L29" s="2"/>
    </row>
    <row r="30" spans="1:12" ht="15.5" x14ac:dyDescent="0.35">
      <c r="A30" s="2"/>
      <c r="B30" s="6"/>
      <c r="C30" s="6"/>
      <c r="D30" s="4"/>
      <c r="E30" s="3"/>
      <c r="F30" s="3"/>
      <c r="G30" s="2"/>
      <c r="H30" s="2"/>
      <c r="I30" s="2"/>
      <c r="J30" s="2"/>
      <c r="K30" s="2"/>
      <c r="L30" s="2"/>
    </row>
    <row r="31" spans="1:12" ht="15.5" x14ac:dyDescent="0.35">
      <c r="A31" s="2"/>
      <c r="B31" s="6"/>
      <c r="C31" s="6"/>
      <c r="D31" s="4"/>
      <c r="E31" s="3"/>
      <c r="F31" s="3"/>
      <c r="G31" s="2"/>
      <c r="H31" s="2"/>
      <c r="I31" s="2"/>
      <c r="J31" s="2"/>
      <c r="K31" s="2"/>
      <c r="L31" s="2"/>
    </row>
    <row r="32" spans="1:12" ht="15.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5" x14ac:dyDescent="0.35">
      <c r="A34" s="2"/>
      <c r="B34" s="2"/>
      <c r="C34" s="2"/>
      <c r="D34" s="2"/>
      <c r="E34" s="35" t="s">
        <v>37</v>
      </c>
      <c r="F34" s="35"/>
      <c r="G34" s="35"/>
      <c r="H34" s="2"/>
      <c r="I34" s="2"/>
      <c r="J34" s="2"/>
      <c r="K34" s="2"/>
      <c r="L34" s="2"/>
    </row>
    <row r="35" spans="1:12" ht="15.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.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.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</sheetData>
  <mergeCells count="1">
    <mergeCell ref="E34:G34"/>
  </mergeCells>
  <printOptions headings="1" gridLines="1"/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2" workbookViewId="0">
      <selection activeCell="F31" sqref="F31"/>
    </sheetView>
  </sheetViews>
  <sheetFormatPr defaultColWidth="8.90625" defaultRowHeight="15.5" x14ac:dyDescent="0.35"/>
  <cols>
    <col min="1" max="1" width="8.90625" style="2"/>
    <col min="2" max="2" width="10.81640625" style="2" customWidth="1"/>
    <col min="3" max="3" width="16.453125" style="2" customWidth="1"/>
    <col min="4" max="16384" width="8.90625" style="2"/>
  </cols>
  <sheetData>
    <row r="1" spans="1:5" x14ac:dyDescent="0.35">
      <c r="A1" s="1" t="s">
        <v>16</v>
      </c>
    </row>
    <row r="2" spans="1:5" x14ac:dyDescent="0.35">
      <c r="A2" s="1" t="s">
        <v>17</v>
      </c>
    </row>
    <row r="3" spans="1:5" x14ac:dyDescent="0.35">
      <c r="B3" s="1" t="s">
        <v>18</v>
      </c>
    </row>
    <row r="4" spans="1:5" x14ac:dyDescent="0.35">
      <c r="B4" s="1" t="s">
        <v>19</v>
      </c>
    </row>
    <row r="6" spans="1:5" x14ac:dyDescent="0.35">
      <c r="A6" s="2" t="s">
        <v>3</v>
      </c>
    </row>
    <row r="7" spans="1:5" x14ac:dyDescent="0.35">
      <c r="B7" s="5"/>
      <c r="C7" s="6" t="s">
        <v>13</v>
      </c>
      <c r="D7" s="4">
        <v>200</v>
      </c>
    </row>
    <row r="8" spans="1:5" x14ac:dyDescent="0.35">
      <c r="B8" s="5" t="s">
        <v>14</v>
      </c>
      <c r="C8" s="3" t="s">
        <v>15</v>
      </c>
      <c r="D8" s="4">
        <v>75</v>
      </c>
    </row>
    <row r="9" spans="1:5" x14ac:dyDescent="0.35">
      <c r="B9" s="3" t="s">
        <v>4</v>
      </c>
      <c r="C9" s="3"/>
      <c r="D9" s="4">
        <f>D8/D7</f>
        <v>0.375</v>
      </c>
      <c r="E9" s="2" t="str">
        <f ca="1">_xlfn.FORMULATEXT(D9)</f>
        <v>=D8/D7</v>
      </c>
    </row>
    <row r="10" spans="1:5" x14ac:dyDescent="0.35">
      <c r="B10" s="6"/>
      <c r="C10" s="6" t="s">
        <v>7</v>
      </c>
      <c r="D10" s="4">
        <f>1-D9</f>
        <v>0.625</v>
      </c>
      <c r="E10" s="2" t="str">
        <f t="shared" ref="E10:E11" ca="1" si="0">_xlfn.FORMULATEXT(D10)</f>
        <v>=1-D9</v>
      </c>
    </row>
    <row r="11" spans="1:5" x14ac:dyDescent="0.35">
      <c r="B11" s="6"/>
      <c r="C11" s="6" t="s">
        <v>8</v>
      </c>
      <c r="D11" s="4">
        <f>SQRT(D9*D10/D7)</f>
        <v>3.423265984407288E-2</v>
      </c>
      <c r="E11" s="2" t="str">
        <f t="shared" ca="1" si="0"/>
        <v>=SQRT(D9*D10/D7)</v>
      </c>
    </row>
    <row r="12" spans="1:5" x14ac:dyDescent="0.35">
      <c r="B12" s="6"/>
      <c r="C12" s="6"/>
      <c r="D12" s="4"/>
    </row>
    <row r="13" spans="1:5" x14ac:dyDescent="0.35">
      <c r="A13" s="2" t="s">
        <v>20</v>
      </c>
      <c r="B13" s="6"/>
      <c r="C13" s="6"/>
    </row>
    <row r="14" spans="1:5" x14ac:dyDescent="0.35">
      <c r="B14" s="6"/>
      <c r="C14" s="6" t="s">
        <v>5</v>
      </c>
      <c r="D14" s="4">
        <v>0.99</v>
      </c>
    </row>
    <row r="15" spans="1:5" x14ac:dyDescent="0.35">
      <c r="B15" s="6"/>
      <c r="C15" s="6" t="s">
        <v>0</v>
      </c>
      <c r="D15" s="4">
        <f>1-D14</f>
        <v>1.0000000000000009E-2</v>
      </c>
      <c r="E15" s="2" t="str">
        <f ca="1">_xlfn.FORMULATEXT(D15)</f>
        <v>=1-D14</v>
      </c>
    </row>
    <row r="16" spans="1:5" x14ac:dyDescent="0.35">
      <c r="B16" s="6"/>
      <c r="C16" s="6" t="s">
        <v>6</v>
      </c>
      <c r="D16" s="4">
        <f>NORMSINV(1-D15/2)</f>
        <v>2.5758293035488999</v>
      </c>
      <c r="E16" s="2" t="str">
        <f ca="1">_xlfn.FORMULATEXT(D16)</f>
        <v>=NORMSINV(1-D15/2)</v>
      </c>
    </row>
    <row r="17" spans="1:5" x14ac:dyDescent="0.35">
      <c r="B17" s="6"/>
      <c r="C17" s="6" t="s">
        <v>2</v>
      </c>
      <c r="D17" s="4">
        <f>D9-D11*D16</f>
        <v>0.28682251163521533</v>
      </c>
      <c r="E17" s="2" t="str">
        <f t="shared" ref="E17:E18" ca="1" si="1">_xlfn.FORMULATEXT(D17)</f>
        <v>=D9-D11*D16</v>
      </c>
    </row>
    <row r="18" spans="1:5" x14ac:dyDescent="0.35">
      <c r="B18" s="6"/>
      <c r="C18" s="6" t="s">
        <v>9</v>
      </c>
      <c r="D18" s="4">
        <f>D10-D13*D17</f>
        <v>0.625</v>
      </c>
      <c r="E18" s="2" t="str">
        <f t="shared" ca="1" si="1"/>
        <v>=D10-D13*D17</v>
      </c>
    </row>
    <row r="19" spans="1:5" x14ac:dyDescent="0.35">
      <c r="B19" s="6"/>
      <c r="C19" s="6"/>
    </row>
    <row r="20" spans="1:5" x14ac:dyDescent="0.35">
      <c r="A20" s="2" t="s">
        <v>10</v>
      </c>
      <c r="B20" s="6"/>
      <c r="C20" s="6"/>
    </row>
    <row r="21" spans="1:5" x14ac:dyDescent="0.35">
      <c r="B21" s="6"/>
      <c r="C21" s="6" t="s">
        <v>5</v>
      </c>
      <c r="D21" s="4">
        <v>0.9</v>
      </c>
    </row>
    <row r="22" spans="1:5" x14ac:dyDescent="0.35">
      <c r="B22" s="6"/>
      <c r="C22" s="6" t="s">
        <v>0</v>
      </c>
      <c r="D22" s="4">
        <f>1-D21</f>
        <v>9.9999999999999978E-2</v>
      </c>
      <c r="E22" s="2" t="str">
        <f ca="1">_xlfn.FORMULATEXT(D22)</f>
        <v>=1-D21</v>
      </c>
    </row>
    <row r="23" spans="1:5" x14ac:dyDescent="0.35">
      <c r="B23" s="6"/>
      <c r="C23" s="6" t="s">
        <v>6</v>
      </c>
      <c r="D23" s="4">
        <f>NORMSINV(1-D22/2)</f>
        <v>1.6448536269514715</v>
      </c>
      <c r="E23" s="2" t="str">
        <f t="shared" ref="E23:E25" ca="1" si="2">_xlfn.FORMULATEXT(D23)</f>
        <v>=NORMSINV(1-D22/2)</v>
      </c>
    </row>
    <row r="24" spans="1:5" x14ac:dyDescent="0.35">
      <c r="B24" s="6"/>
      <c r="C24" s="6" t="s">
        <v>12</v>
      </c>
      <c r="D24" s="4">
        <f>D9-D11*D23</f>
        <v>0.31869228529528071</v>
      </c>
      <c r="E24" s="2" t="str">
        <f t="shared" ca="1" si="2"/>
        <v>=D9-D11*D23</v>
      </c>
    </row>
    <row r="25" spans="1:5" x14ac:dyDescent="0.35">
      <c r="B25" s="6"/>
      <c r="C25" s="6" t="s">
        <v>9</v>
      </c>
      <c r="D25" s="4">
        <f>D9+D11*D23</f>
        <v>0.43130771470471929</v>
      </c>
      <c r="E25" s="2" t="str">
        <f t="shared" ca="1" si="2"/>
        <v>=D9+D11*D23</v>
      </c>
    </row>
    <row r="26" spans="1:5" x14ac:dyDescent="0.35">
      <c r="B26" s="6"/>
      <c r="C26" s="6"/>
      <c r="D26" s="4"/>
    </row>
    <row r="27" spans="1:5" x14ac:dyDescent="0.35">
      <c r="A27" s="2" t="s">
        <v>11</v>
      </c>
      <c r="B27" s="6"/>
      <c r="C27" s="6"/>
      <c r="D27" s="4"/>
    </row>
    <row r="28" spans="1:5" x14ac:dyDescent="0.35">
      <c r="B28" s="6"/>
      <c r="C28" s="6" t="s">
        <v>1</v>
      </c>
      <c r="D28" s="4">
        <v>3</v>
      </c>
    </row>
    <row r="29" spans="1:5" x14ac:dyDescent="0.35">
      <c r="B29" s="6"/>
      <c r="C29" s="6" t="s">
        <v>12</v>
      </c>
      <c r="D29" s="4">
        <f>D9-D11*D28</f>
        <v>0.27230202046778135</v>
      </c>
      <c r="E29" s="2" t="str">
        <f ca="1">_xlfn.FORMULATEXT(D29)</f>
        <v>=D9-D11*D28</v>
      </c>
    </row>
    <row r="30" spans="1:5" x14ac:dyDescent="0.35">
      <c r="B30" s="6"/>
      <c r="C30" s="6" t="s">
        <v>9</v>
      </c>
      <c r="D30" s="4">
        <f>D9+D11*D28</f>
        <v>0.47769797953221865</v>
      </c>
      <c r="E30" s="2" t="str">
        <f ca="1">_xlfn.FORMULATEXT(D30)</f>
        <v>=D9+D11*D28</v>
      </c>
    </row>
    <row r="35" spans="4:4" x14ac:dyDescent="0.35">
      <c r="D35" s="2" t="s">
        <v>32</v>
      </c>
    </row>
  </sheetData>
  <printOptions headings="1" gridLines="1"/>
  <pageMargins left="0.7" right="0.7" top="0.75" bottom="0.75" header="0.3" footer="0.3"/>
  <pageSetup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J16" sqref="J16"/>
    </sheetView>
  </sheetViews>
  <sheetFormatPr defaultRowHeight="14.5" x14ac:dyDescent="0.35"/>
  <sheetData>
    <row r="1" spans="1:10" ht="15.5" x14ac:dyDescent="0.35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</row>
    <row r="2" spans="1:10" ht="15.5" x14ac:dyDescent="0.35">
      <c r="A2" s="1" t="s">
        <v>39</v>
      </c>
      <c r="B2" s="2"/>
      <c r="C2" s="2"/>
      <c r="D2" s="2"/>
      <c r="E2" s="2"/>
      <c r="F2" s="2"/>
      <c r="G2" s="2"/>
      <c r="H2" s="2"/>
      <c r="I2" s="2"/>
      <c r="J2" s="2"/>
    </row>
    <row r="3" spans="1:10" ht="15.5" x14ac:dyDescent="0.35">
      <c r="A3" s="1" t="s">
        <v>40</v>
      </c>
      <c r="B3" s="2"/>
      <c r="C3" s="2"/>
      <c r="D3" s="2"/>
      <c r="E3" s="2"/>
      <c r="F3" s="2"/>
      <c r="G3" s="2"/>
      <c r="H3" s="2"/>
      <c r="I3" s="2"/>
      <c r="J3" s="2"/>
    </row>
    <row r="4" spans="1:10" ht="15.5" x14ac:dyDescent="0.3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.5" x14ac:dyDescent="0.35">
      <c r="A5" s="2" t="s">
        <v>41</v>
      </c>
      <c r="B5" s="2"/>
      <c r="C5" s="2"/>
      <c r="D5" s="2"/>
      <c r="E5" s="2"/>
      <c r="F5" s="2"/>
      <c r="G5" s="2"/>
      <c r="H5" s="2"/>
      <c r="I5" s="2"/>
      <c r="J5" s="2"/>
    </row>
    <row r="6" spans="1:10" ht="15.5" x14ac:dyDescent="0.35">
      <c r="A6" s="2"/>
      <c r="B6" s="2" t="s">
        <v>42</v>
      </c>
      <c r="C6" s="2"/>
      <c r="D6" s="2"/>
      <c r="E6" s="7">
        <v>0.93</v>
      </c>
      <c r="F6" s="2"/>
      <c r="G6" s="2"/>
      <c r="H6" s="2"/>
      <c r="I6" s="2"/>
      <c r="J6" s="2"/>
    </row>
    <row r="7" spans="1:10" ht="15.5" x14ac:dyDescent="0.35">
      <c r="A7" s="2"/>
      <c r="B7" s="2"/>
      <c r="C7" s="2"/>
      <c r="D7" s="7" t="s">
        <v>0</v>
      </c>
      <c r="E7" s="7">
        <f>1-E6</f>
        <v>6.9999999999999951E-2</v>
      </c>
      <c r="F7" s="2" t="str">
        <f ca="1">_xlfn.FORMULATEXT(E7)</f>
        <v>=1-E6</v>
      </c>
      <c r="G7" s="2"/>
      <c r="H7" s="2"/>
      <c r="I7" s="2"/>
      <c r="J7" s="2"/>
    </row>
    <row r="8" spans="1:10" ht="15.5" x14ac:dyDescent="0.35">
      <c r="A8" s="2"/>
      <c r="B8" s="2"/>
      <c r="C8" s="2"/>
      <c r="D8" s="7" t="s">
        <v>6</v>
      </c>
      <c r="E8" s="7">
        <f>NORMSINV(1-E7/2)</f>
        <v>1.8119106729525984</v>
      </c>
      <c r="F8" s="2" t="str">
        <f ca="1">_xlfn.FORMULATEXT(E8)</f>
        <v>=NORMSINV(1-E7/2)</v>
      </c>
      <c r="G8" s="2"/>
      <c r="H8" s="2"/>
      <c r="I8" s="2"/>
      <c r="J8" s="2"/>
    </row>
    <row r="9" spans="1:10" ht="15.5" x14ac:dyDescent="0.35">
      <c r="A9" s="2" t="s">
        <v>43</v>
      </c>
      <c r="B9" s="2"/>
      <c r="C9" s="2"/>
      <c r="D9" s="2"/>
      <c r="E9" s="7">
        <v>2</v>
      </c>
      <c r="F9" s="2"/>
      <c r="G9" s="2"/>
      <c r="H9" s="2"/>
      <c r="I9" s="2"/>
      <c r="J9" s="2"/>
    </row>
    <row r="10" spans="1:10" ht="15.5" x14ac:dyDescent="0.35">
      <c r="A10" s="2"/>
      <c r="B10" s="2"/>
      <c r="C10" s="2" t="s">
        <v>44</v>
      </c>
      <c r="D10" s="2"/>
      <c r="E10" s="7">
        <v>22</v>
      </c>
      <c r="F10" s="2"/>
      <c r="G10" s="2"/>
      <c r="H10" s="2"/>
      <c r="I10" s="2"/>
      <c r="J10" s="2"/>
    </row>
    <row r="11" spans="1:10" ht="15.5" x14ac:dyDescent="0.35">
      <c r="A11" s="2"/>
      <c r="B11" s="2"/>
      <c r="C11" s="2"/>
      <c r="D11" s="2"/>
      <c r="E11" s="7"/>
      <c r="F11" s="2"/>
      <c r="G11" s="2"/>
      <c r="H11" s="2"/>
      <c r="I11" s="2"/>
      <c r="J11" s="2"/>
    </row>
    <row r="12" spans="1:10" ht="15.5" x14ac:dyDescent="0.35">
      <c r="A12" s="2" t="s">
        <v>45</v>
      </c>
      <c r="B12" s="2"/>
      <c r="C12" s="2"/>
      <c r="D12" s="2"/>
      <c r="E12" s="7">
        <f>(E8*E10/E9)^2</f>
        <v>397.24545469790417</v>
      </c>
      <c r="F12" s="2" t="str">
        <f ca="1">_xlfn.FORMULATEXT(E12)</f>
        <v>=(E8*E10/E9)^2</v>
      </c>
      <c r="G12" s="2"/>
      <c r="H12" s="2"/>
      <c r="I12" s="2"/>
      <c r="J12" s="2"/>
    </row>
    <row r="13" spans="1:10" ht="15.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5.5" x14ac:dyDescent="0.35">
      <c r="A14" s="2"/>
      <c r="B14" s="2" t="s">
        <v>46</v>
      </c>
      <c r="C14" s="2"/>
      <c r="D14" s="2"/>
      <c r="E14" s="2"/>
      <c r="F14" s="2"/>
      <c r="G14" s="2"/>
      <c r="H14" s="2"/>
      <c r="I14" s="2"/>
      <c r="J14" s="2"/>
    </row>
    <row r="15" spans="1:10" ht="15.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5.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.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.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5.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.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.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.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D24" t="s">
        <v>37</v>
      </c>
    </row>
  </sheetData>
  <printOptions headings="1" gridLine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opLeftCell="A13" workbookViewId="0">
      <selection activeCell="G34" sqref="G34"/>
    </sheetView>
  </sheetViews>
  <sheetFormatPr defaultRowHeight="14.5" x14ac:dyDescent="0.35"/>
  <sheetData>
    <row r="1" spans="1:11" ht="15.5" x14ac:dyDescent="0.35">
      <c r="A1" s="1" t="s">
        <v>47</v>
      </c>
      <c r="B1" s="1"/>
      <c r="C1" s="2"/>
      <c r="D1" s="2"/>
      <c r="E1" s="2"/>
      <c r="F1" s="2"/>
      <c r="G1" s="2"/>
      <c r="H1" s="2"/>
      <c r="I1" s="2"/>
      <c r="J1" s="2"/>
      <c r="K1" s="2"/>
    </row>
    <row r="2" spans="1:11" ht="15.5" x14ac:dyDescent="0.35">
      <c r="A2" s="1" t="s">
        <v>48</v>
      </c>
      <c r="B2" s="1"/>
      <c r="C2" s="2"/>
      <c r="D2" s="2"/>
      <c r="E2" s="2"/>
      <c r="F2" s="2"/>
      <c r="G2" s="2"/>
      <c r="H2" s="2"/>
      <c r="I2" s="2"/>
      <c r="J2" s="2"/>
      <c r="K2" s="2"/>
    </row>
    <row r="3" spans="1:11" ht="15.5" x14ac:dyDescent="0.35">
      <c r="A3" s="1" t="s">
        <v>49</v>
      </c>
      <c r="B3" s="1"/>
      <c r="C3" s="2"/>
      <c r="D3" s="2"/>
      <c r="E3" s="2"/>
      <c r="F3" s="2"/>
      <c r="G3" s="2"/>
      <c r="H3" s="2"/>
      <c r="I3" s="2"/>
      <c r="J3" s="2"/>
      <c r="K3" s="2"/>
    </row>
    <row r="4" spans="1:11" ht="15.5" x14ac:dyDescent="0.35">
      <c r="A4" s="1"/>
      <c r="B4" s="1" t="s">
        <v>50</v>
      </c>
      <c r="C4" s="2"/>
      <c r="D4" s="2"/>
      <c r="E4" s="2"/>
      <c r="F4" s="2"/>
      <c r="G4" s="2"/>
      <c r="H4" s="2"/>
      <c r="I4" s="2"/>
      <c r="J4" s="2"/>
      <c r="K4" s="2"/>
    </row>
    <row r="5" spans="1:11" ht="15.5" x14ac:dyDescent="0.35">
      <c r="A5" s="1"/>
      <c r="B5" s="1" t="s">
        <v>51</v>
      </c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1"/>
      <c r="B6" s="1" t="s">
        <v>52</v>
      </c>
      <c r="C6" s="2"/>
      <c r="D6" s="2"/>
      <c r="E6" s="2"/>
      <c r="F6" s="2"/>
      <c r="G6" s="2"/>
      <c r="H6" s="2"/>
      <c r="I6" s="2"/>
      <c r="J6" s="2"/>
      <c r="K6" s="2"/>
    </row>
    <row r="7" spans="1:11" ht="15.5" x14ac:dyDescent="0.35">
      <c r="A7" s="1"/>
      <c r="B7" s="1" t="s">
        <v>53</v>
      </c>
      <c r="C7" s="2"/>
      <c r="D7" s="2"/>
      <c r="E7" s="2"/>
      <c r="F7" s="2"/>
      <c r="G7" s="2"/>
      <c r="H7" s="2"/>
      <c r="I7" s="2"/>
      <c r="J7" s="2"/>
      <c r="K7" s="2"/>
    </row>
    <row r="8" spans="1:11" ht="15.5" x14ac:dyDescent="0.35">
      <c r="K8" s="2"/>
    </row>
    <row r="9" spans="1:11" ht="15.5" x14ac:dyDescent="0.35">
      <c r="A9" s="2" t="s">
        <v>41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5" x14ac:dyDescent="0.35">
      <c r="A10" s="2" t="s">
        <v>54</v>
      </c>
      <c r="B10" s="2"/>
      <c r="C10" s="2"/>
      <c r="D10" s="2"/>
      <c r="E10" s="7">
        <v>0.08</v>
      </c>
      <c r="F10" s="2"/>
      <c r="G10" s="2"/>
      <c r="H10" s="2"/>
      <c r="I10" s="2"/>
      <c r="J10" s="2"/>
      <c r="K10" s="2"/>
    </row>
    <row r="11" spans="1:11" ht="15.5" x14ac:dyDescent="0.35">
      <c r="A11" s="2"/>
      <c r="B11" s="2"/>
      <c r="C11" s="6"/>
      <c r="D11" s="6" t="s">
        <v>55</v>
      </c>
      <c r="E11" s="7">
        <v>0.3</v>
      </c>
      <c r="F11" s="2"/>
      <c r="G11" s="2"/>
      <c r="H11" s="2"/>
      <c r="I11" s="2"/>
      <c r="J11" s="2"/>
      <c r="K11" s="2"/>
    </row>
    <row r="12" spans="1:11" ht="15.5" x14ac:dyDescent="0.35">
      <c r="A12" s="2" t="s">
        <v>56</v>
      </c>
      <c r="B12" s="2"/>
      <c r="C12" s="6"/>
      <c r="D12" s="6" t="s">
        <v>57</v>
      </c>
      <c r="E12" s="7">
        <f>1-E11</f>
        <v>0.7</v>
      </c>
      <c r="F12" s="2" t="str">
        <f ca="1">_xlfn.FORMULATEXT(E12)</f>
        <v>=1-E11</v>
      </c>
      <c r="G12" s="2"/>
      <c r="H12" s="2"/>
      <c r="I12" s="2"/>
      <c r="J12" s="2"/>
      <c r="K12" s="2"/>
    </row>
    <row r="13" spans="1:11" ht="15.5" x14ac:dyDescent="0.35">
      <c r="A13" s="2" t="s">
        <v>58</v>
      </c>
      <c r="B13" s="2"/>
      <c r="C13" s="2"/>
      <c r="D13" s="7"/>
      <c r="E13" s="7"/>
      <c r="F13" s="2"/>
      <c r="G13" s="2"/>
      <c r="H13" s="2"/>
      <c r="I13" s="2"/>
      <c r="J13" s="2"/>
      <c r="K13" s="2"/>
    </row>
    <row r="14" spans="1:11" ht="15.5" x14ac:dyDescent="0.35">
      <c r="A14" s="2"/>
      <c r="B14" s="2"/>
      <c r="C14" s="6"/>
      <c r="D14" s="6" t="s">
        <v>59</v>
      </c>
      <c r="E14" s="7">
        <v>0.95</v>
      </c>
      <c r="F14" s="2"/>
      <c r="G14" s="2"/>
      <c r="H14" s="2"/>
      <c r="I14" s="2"/>
      <c r="J14" s="2"/>
      <c r="K14" s="2"/>
    </row>
    <row r="15" spans="1:11" ht="15.5" x14ac:dyDescent="0.35">
      <c r="A15" s="2"/>
      <c r="B15" s="2"/>
      <c r="C15" s="6"/>
      <c r="D15" s="6" t="s">
        <v>0</v>
      </c>
      <c r="E15" s="7">
        <f>1-E14</f>
        <v>5.0000000000000044E-2</v>
      </c>
      <c r="F15" s="2" t="str">
        <f ca="1">_xlfn.FORMULATEXT(E15)</f>
        <v>=1-E14</v>
      </c>
      <c r="G15" s="2"/>
      <c r="H15" s="2"/>
      <c r="I15" s="2"/>
      <c r="J15" s="2"/>
      <c r="K15" s="2"/>
    </row>
    <row r="16" spans="1:11" ht="15.5" x14ac:dyDescent="0.35">
      <c r="A16" s="2"/>
      <c r="B16" s="2"/>
      <c r="C16" s="6"/>
      <c r="D16" s="6" t="s">
        <v>6</v>
      </c>
      <c r="E16" s="7">
        <f>NORMSINV(1-E15/2)</f>
        <v>1.9599639845400536</v>
      </c>
      <c r="F16" s="2" t="str">
        <f ca="1">_xlfn.FORMULATEXT(E16)</f>
        <v>=NORMSINV(1-E15/2)</v>
      </c>
      <c r="G16" s="2"/>
      <c r="H16" s="2"/>
      <c r="I16" s="2"/>
      <c r="J16" s="2"/>
      <c r="K16" s="2"/>
    </row>
    <row r="17" spans="1:11" ht="15.5" x14ac:dyDescent="0.35">
      <c r="A17" s="2"/>
      <c r="B17" s="2"/>
      <c r="C17" s="2"/>
      <c r="D17" s="6" t="s">
        <v>60</v>
      </c>
      <c r="E17" s="7">
        <f>(E16/E10)^2*E11*E12</f>
        <v>126.04786755402588</v>
      </c>
      <c r="F17" s="2" t="str">
        <f ca="1">_xlfn.FORMULATEXT(E17)</f>
        <v>=(E16/E10)^2*E11*E12</v>
      </c>
      <c r="G17" s="2"/>
      <c r="H17" s="2"/>
      <c r="I17" s="2"/>
      <c r="J17" s="2"/>
      <c r="K17" s="2"/>
    </row>
    <row r="18" spans="1:11" ht="15.5" x14ac:dyDescent="0.35">
      <c r="A18" s="2"/>
      <c r="B18" s="2" t="s">
        <v>61</v>
      </c>
      <c r="C18" s="2"/>
      <c r="D18" s="2"/>
      <c r="E18" s="7"/>
      <c r="F18" s="2"/>
      <c r="G18" s="2"/>
      <c r="H18" s="2"/>
      <c r="I18" s="2"/>
      <c r="J18" s="2"/>
      <c r="K18" s="2"/>
    </row>
    <row r="19" spans="1:11" ht="15.5" x14ac:dyDescent="0.35">
      <c r="A19" s="2"/>
      <c r="B19" s="2"/>
      <c r="C19" s="2"/>
      <c r="D19" s="2"/>
      <c r="E19" s="7"/>
      <c r="F19" s="2"/>
      <c r="G19" s="2"/>
      <c r="H19" s="2"/>
      <c r="I19" s="2"/>
      <c r="J19" s="2"/>
      <c r="K19" s="2"/>
    </row>
    <row r="20" spans="1:11" ht="15.5" x14ac:dyDescent="0.35">
      <c r="A20" s="2" t="s">
        <v>62</v>
      </c>
      <c r="B20" s="2"/>
      <c r="C20" s="2"/>
      <c r="D20" s="2"/>
      <c r="E20" s="7"/>
      <c r="F20" s="2"/>
      <c r="G20" s="2"/>
      <c r="H20" s="2"/>
      <c r="I20" s="2"/>
      <c r="J20" s="2"/>
      <c r="K20" s="2"/>
    </row>
    <row r="21" spans="1:11" ht="15.5" x14ac:dyDescent="0.35">
      <c r="A21" s="2"/>
      <c r="B21" s="2"/>
      <c r="C21" s="2"/>
      <c r="D21" s="6" t="s">
        <v>59</v>
      </c>
      <c r="E21" s="7">
        <v>0.99</v>
      </c>
      <c r="F21" s="2"/>
      <c r="G21" s="2"/>
      <c r="H21" s="2"/>
      <c r="I21" s="2"/>
      <c r="J21" s="2"/>
      <c r="K21" s="2"/>
    </row>
    <row r="22" spans="1:11" ht="15.5" x14ac:dyDescent="0.35">
      <c r="A22" s="2"/>
      <c r="B22" s="2"/>
      <c r="C22" s="2"/>
      <c r="D22" s="6" t="s">
        <v>0</v>
      </c>
      <c r="E22" s="7">
        <f>1-E21</f>
        <v>1.0000000000000009E-2</v>
      </c>
      <c r="F22" s="2" t="str">
        <f ca="1">_xlfn.FORMULATEXT(E22)</f>
        <v>=1-E21</v>
      </c>
      <c r="G22" s="2"/>
      <c r="H22" s="2"/>
      <c r="I22" s="2"/>
      <c r="J22" s="2"/>
      <c r="K22" s="2"/>
    </row>
    <row r="23" spans="1:11" ht="15.5" x14ac:dyDescent="0.35">
      <c r="A23" s="2"/>
      <c r="B23" s="2"/>
      <c r="C23" s="2"/>
      <c r="D23" s="6" t="s">
        <v>6</v>
      </c>
      <c r="E23" s="7">
        <f>NORMSINV(1-E22/2)</f>
        <v>2.5758293035488999</v>
      </c>
      <c r="F23" s="2" t="str">
        <f ca="1">_xlfn.FORMULATEXT(E23)</f>
        <v>=NORMSINV(1-E22/2)</v>
      </c>
      <c r="G23" s="2"/>
      <c r="H23" s="2"/>
      <c r="I23" s="2"/>
      <c r="J23" s="2"/>
      <c r="K23" s="2"/>
    </row>
    <row r="24" spans="1:11" ht="15.5" x14ac:dyDescent="0.35">
      <c r="A24" s="2"/>
      <c r="B24" s="2"/>
      <c r="C24" s="2"/>
      <c r="D24" s="6" t="s">
        <v>60</v>
      </c>
      <c r="E24" s="2">
        <f>(E23/E10)^2*E11*E12</f>
        <v>217.70754472100845</v>
      </c>
      <c r="F24" s="2" t="str">
        <f ca="1">_xlfn.FORMULATEXT(E24)</f>
        <v>=(E23/E10)^2*E11*E12</v>
      </c>
      <c r="G24" s="2"/>
      <c r="H24" s="2"/>
      <c r="I24" s="2"/>
      <c r="J24" s="2"/>
      <c r="K24" s="2"/>
    </row>
    <row r="25" spans="1:11" ht="15.5" x14ac:dyDescent="0.35">
      <c r="A25" s="2"/>
      <c r="B25" s="2" t="s">
        <v>63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ht="15.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5" x14ac:dyDescent="0.35">
      <c r="A27" s="2" t="s">
        <v>64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5" x14ac:dyDescent="0.35">
      <c r="A28" s="2"/>
      <c r="B28" s="2" t="s">
        <v>65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ht="15.5" x14ac:dyDescent="0.35">
      <c r="A29" s="2"/>
      <c r="B29" s="6"/>
      <c r="C29" s="6"/>
      <c r="D29" s="6" t="s">
        <v>6</v>
      </c>
      <c r="E29" s="7">
        <v>3</v>
      </c>
      <c r="F29" s="2"/>
      <c r="G29" s="2"/>
      <c r="H29" s="2"/>
      <c r="I29" s="2"/>
      <c r="J29" s="2"/>
      <c r="K29" s="2"/>
    </row>
    <row r="30" spans="1:11" ht="15.5" x14ac:dyDescent="0.35">
      <c r="A30" s="2"/>
      <c r="B30" s="6"/>
      <c r="C30" s="6"/>
      <c r="D30" s="6" t="s">
        <v>66</v>
      </c>
      <c r="E30" s="7">
        <v>0.5</v>
      </c>
      <c r="F30" s="2"/>
      <c r="G30" s="2"/>
      <c r="H30" s="2"/>
      <c r="I30" s="2"/>
      <c r="J30" s="2"/>
      <c r="K30" s="2"/>
    </row>
    <row r="31" spans="1:11" ht="15.5" x14ac:dyDescent="0.35">
      <c r="A31" s="2"/>
      <c r="B31" s="6"/>
      <c r="C31" s="6"/>
      <c r="D31" s="6" t="s">
        <v>57</v>
      </c>
      <c r="E31" s="7">
        <f>1-E30</f>
        <v>0.5</v>
      </c>
      <c r="F31" s="2" t="str">
        <f ca="1">_xlfn.FORMULATEXT(E31)</f>
        <v>=1-E30</v>
      </c>
      <c r="G31" s="2"/>
      <c r="H31" s="2"/>
      <c r="I31" s="2"/>
      <c r="J31" s="2"/>
      <c r="K31" s="2"/>
    </row>
    <row r="32" spans="1:11" ht="15.5" x14ac:dyDescent="0.35">
      <c r="A32" s="2"/>
      <c r="B32" s="6"/>
      <c r="C32" s="6"/>
      <c r="D32" s="6" t="s">
        <v>67</v>
      </c>
      <c r="E32" s="7">
        <f>(E29/E10)^2*E30*E31</f>
        <v>351.5625</v>
      </c>
      <c r="F32" s="2" t="str">
        <f ca="1">_xlfn.FORMULATEXT(E32)</f>
        <v>=(E29/E10)^2*E30*E31</v>
      </c>
      <c r="G32" s="2"/>
      <c r="H32" s="2"/>
      <c r="I32" s="2"/>
      <c r="J32" s="2"/>
      <c r="K32" s="2"/>
    </row>
    <row r="33" spans="1:11" ht="15.5" x14ac:dyDescent="0.35">
      <c r="A33" s="2"/>
      <c r="B33" s="2" t="s">
        <v>68</v>
      </c>
      <c r="C33" s="2"/>
      <c r="D33" s="2"/>
      <c r="E33" s="7"/>
      <c r="F33" s="2"/>
      <c r="G33" s="2"/>
      <c r="H33" s="2"/>
      <c r="I33" s="2"/>
      <c r="J33" s="2"/>
      <c r="K33" s="2"/>
    </row>
    <row r="34" spans="1:11" ht="15.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5" x14ac:dyDescent="0.35">
      <c r="A38" s="2"/>
      <c r="B38" s="2"/>
      <c r="C38" s="2"/>
      <c r="D38" s="2" t="s">
        <v>37</v>
      </c>
      <c r="E38" s="2"/>
      <c r="F38" s="2"/>
      <c r="G38" s="2"/>
      <c r="H38" s="2"/>
      <c r="I38" s="2"/>
      <c r="J38" s="2"/>
      <c r="K38" s="2"/>
    </row>
    <row r="39" spans="1:11" ht="15.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zoomScale="94" zoomScaleNormal="115" workbookViewId="0">
      <selection activeCell="C14" sqref="C14:C18"/>
    </sheetView>
  </sheetViews>
  <sheetFormatPr defaultColWidth="8.90625" defaultRowHeight="15.5" x14ac:dyDescent="0.35"/>
  <cols>
    <col min="1" max="16384" width="8.90625" style="2"/>
  </cols>
  <sheetData>
    <row r="1" spans="1:11" x14ac:dyDescent="0.35">
      <c r="A1" s="1" t="s">
        <v>69</v>
      </c>
    </row>
    <row r="2" spans="1:11" x14ac:dyDescent="0.35">
      <c r="A2" s="1" t="s">
        <v>70</v>
      </c>
    </row>
    <row r="3" spans="1:11" x14ac:dyDescent="0.35">
      <c r="A3" s="9"/>
      <c r="B3" s="9"/>
      <c r="C3" s="9"/>
      <c r="D3" s="9"/>
      <c r="E3" s="9"/>
      <c r="F3" s="9"/>
      <c r="G3" s="9"/>
      <c r="H3" s="9"/>
      <c r="I3" s="9"/>
      <c r="J3" s="10"/>
      <c r="K3" s="10"/>
    </row>
    <row r="4" spans="1:11" x14ac:dyDescent="0.35">
      <c r="A4" s="2" t="s">
        <v>71</v>
      </c>
    </row>
    <row r="5" spans="1:11" x14ac:dyDescent="0.35">
      <c r="B5" s="6"/>
      <c r="C5" s="6" t="s">
        <v>21</v>
      </c>
      <c r="D5" s="8">
        <v>250</v>
      </c>
    </row>
    <row r="6" spans="1:11" x14ac:dyDescent="0.35">
      <c r="B6" s="6"/>
      <c r="C6" s="6" t="s">
        <v>72</v>
      </c>
      <c r="D6" s="8">
        <v>90</v>
      </c>
    </row>
    <row r="7" spans="1:11" x14ac:dyDescent="0.35">
      <c r="B7" s="6"/>
      <c r="C7" s="6" t="s">
        <v>73</v>
      </c>
      <c r="D7" s="8">
        <v>93</v>
      </c>
    </row>
    <row r="8" spans="1:11" x14ac:dyDescent="0.35">
      <c r="B8" s="6"/>
      <c r="C8" s="6" t="s">
        <v>74</v>
      </c>
      <c r="D8" s="8">
        <v>10</v>
      </c>
    </row>
    <row r="9" spans="1:11" x14ac:dyDescent="0.35">
      <c r="B9" s="2" t="s">
        <v>75</v>
      </c>
    </row>
    <row r="10" spans="1:11" ht="17.5" x14ac:dyDescent="0.45">
      <c r="B10" s="2" t="s">
        <v>109</v>
      </c>
    </row>
    <row r="11" spans="1:11" ht="17.5" x14ac:dyDescent="0.45">
      <c r="B11" s="2" t="s">
        <v>110</v>
      </c>
    </row>
    <row r="13" spans="1:11" ht="17.5" x14ac:dyDescent="0.45">
      <c r="B13" s="2" t="s">
        <v>111</v>
      </c>
    </row>
    <row r="14" spans="1:11" x14ac:dyDescent="0.35">
      <c r="C14" s="6" t="s">
        <v>76</v>
      </c>
      <c r="D14" s="8">
        <f xml:space="preserve"> D8/SQRT(D5)</f>
        <v>0.63245553203367588</v>
      </c>
      <c r="E14" t="str">
        <f ca="1">_xlfn.FORMULATEXT(D14)</f>
        <v>= D8/SQRT(D5)</v>
      </c>
      <c r="F14"/>
      <c r="G14"/>
    </row>
    <row r="15" spans="1:11" ht="17.5" x14ac:dyDescent="0.45">
      <c r="C15" s="6" t="s">
        <v>77</v>
      </c>
      <c r="D15" s="8">
        <f xml:space="preserve"> (D6 - D7) /D14</f>
        <v>-4.7434164902525691</v>
      </c>
      <c r="E15" t="str">
        <f t="shared" ref="E15:E18" ca="1" si="0">_xlfn.FORMULATEXT(D15)</f>
        <v>= (D6 - D7) /D14</v>
      </c>
      <c r="F15"/>
      <c r="G15"/>
    </row>
    <row r="16" spans="1:11" ht="17.5" x14ac:dyDescent="0.45">
      <c r="C16" s="6" t="s">
        <v>78</v>
      </c>
      <c r="D16" s="8">
        <f>ABS(D15)</f>
        <v>4.7434164902525691</v>
      </c>
      <c r="E16" t="str">
        <f t="shared" ca="1" si="0"/>
        <v>=ABS(D15)</v>
      </c>
      <c r="F16"/>
      <c r="G16"/>
    </row>
    <row r="17" spans="1:7" x14ac:dyDescent="0.35">
      <c r="C17" s="6" t="s">
        <v>79</v>
      </c>
      <c r="D17" s="8">
        <v>0.06</v>
      </c>
      <c r="E17"/>
      <c r="F17"/>
      <c r="G17"/>
    </row>
    <row r="18" spans="1:7" ht="17.5" x14ac:dyDescent="0.45">
      <c r="C18" s="6" t="s">
        <v>80</v>
      </c>
      <c r="D18" s="8">
        <f xml:space="preserve"> NORMSINV(1 - D17/2)</f>
        <v>1.8807936081512504</v>
      </c>
      <c r="E18" t="str">
        <f t="shared" ca="1" si="0"/>
        <v>= NORMSINV(1 - D17/2)</v>
      </c>
      <c r="F18"/>
      <c r="G18"/>
    </row>
    <row r="19" spans="1:7" ht="17.5" x14ac:dyDescent="0.45">
      <c r="B19" s="2" t="s">
        <v>106</v>
      </c>
    </row>
    <row r="20" spans="1:7" x14ac:dyDescent="0.35">
      <c r="A20" s="3"/>
      <c r="B20" s="3"/>
      <c r="C20" s="3" t="s">
        <v>81</v>
      </c>
    </row>
    <row r="30" spans="1:7" x14ac:dyDescent="0.35">
      <c r="E30" s="2" t="s">
        <v>82</v>
      </c>
    </row>
  </sheetData>
  <printOptions headings="1" gridLines="1"/>
  <pageMargins left="0.7" right="0.7" top="0.75" bottom="0.75" header="0.3" footer="0.3"/>
  <pageSetup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zoomScaleNormal="100" workbookViewId="0">
      <selection sqref="A1:H6"/>
    </sheetView>
  </sheetViews>
  <sheetFormatPr defaultRowHeight="14.5" x14ac:dyDescent="0.35"/>
  <cols>
    <col min="3" max="3" width="9.90625" customWidth="1"/>
  </cols>
  <sheetData>
    <row r="1" spans="1:14" ht="15.5" x14ac:dyDescent="0.35">
      <c r="A1" s="1" t="s">
        <v>83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</row>
    <row r="2" spans="1:14" ht="15.5" x14ac:dyDescent="0.35">
      <c r="A2" s="1" t="s">
        <v>84</v>
      </c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</row>
    <row r="3" spans="1:14" ht="15.5" x14ac:dyDescent="0.35">
      <c r="A3" s="1"/>
      <c r="B3" s="13" t="s">
        <v>85</v>
      </c>
      <c r="C3" s="13"/>
      <c r="D3" s="1"/>
      <c r="E3" s="16" t="s">
        <v>86</v>
      </c>
      <c r="F3" s="16"/>
      <c r="G3" s="1"/>
      <c r="H3" s="1"/>
      <c r="I3" s="2"/>
      <c r="J3" s="2"/>
      <c r="K3" s="2"/>
      <c r="L3" s="2"/>
      <c r="M3" s="2"/>
      <c r="N3" s="2"/>
    </row>
    <row r="4" spans="1:14" ht="18" x14ac:dyDescent="0.45">
      <c r="A4" s="1"/>
      <c r="B4" s="14" t="s">
        <v>87</v>
      </c>
      <c r="C4" s="15">
        <v>100</v>
      </c>
      <c r="D4" s="11"/>
      <c r="E4" s="14" t="s">
        <v>88</v>
      </c>
      <c r="F4" s="15">
        <v>125</v>
      </c>
      <c r="G4" s="1"/>
      <c r="H4" s="1"/>
      <c r="I4" s="2"/>
      <c r="J4" s="2"/>
      <c r="K4" s="2"/>
      <c r="L4" s="2"/>
      <c r="M4" s="2"/>
      <c r="N4" s="2"/>
    </row>
    <row r="5" spans="1:14" ht="18" x14ac:dyDescent="0.45">
      <c r="A5" s="1"/>
      <c r="B5" s="14" t="s">
        <v>89</v>
      </c>
      <c r="C5" s="15">
        <v>260</v>
      </c>
      <c r="D5" s="11"/>
      <c r="E5" s="14" t="s">
        <v>90</v>
      </c>
      <c r="F5" s="15">
        <v>258</v>
      </c>
      <c r="G5" s="1"/>
      <c r="H5" s="1"/>
      <c r="I5" s="2"/>
      <c r="J5" s="2"/>
      <c r="K5" s="2"/>
      <c r="L5" s="2"/>
      <c r="M5" s="2"/>
      <c r="N5" s="2"/>
    </row>
    <row r="6" spans="1:14" ht="18" x14ac:dyDescent="0.45">
      <c r="A6" s="1"/>
      <c r="B6" s="14" t="s">
        <v>91</v>
      </c>
      <c r="C6" s="15">
        <v>5</v>
      </c>
      <c r="D6" s="11"/>
      <c r="E6" s="14" t="s">
        <v>92</v>
      </c>
      <c r="F6" s="15">
        <v>10</v>
      </c>
      <c r="G6" s="1"/>
      <c r="H6" s="1"/>
      <c r="I6" s="2"/>
      <c r="J6" s="2"/>
      <c r="K6" s="2"/>
      <c r="L6" s="2"/>
      <c r="M6" s="2"/>
      <c r="N6" s="2"/>
    </row>
    <row r="7" spans="1:14" ht="15.5" x14ac:dyDescent="0.35">
      <c r="A7" s="12"/>
      <c r="B7" s="12"/>
      <c r="C7" s="12"/>
      <c r="D7" s="12"/>
      <c r="E7" s="12"/>
      <c r="F7" s="12"/>
      <c r="G7" s="12"/>
      <c r="H7" s="12"/>
      <c r="I7" s="9"/>
      <c r="J7" s="10"/>
      <c r="K7" s="10"/>
      <c r="L7" s="2"/>
      <c r="M7" s="2"/>
      <c r="N7" s="2"/>
    </row>
    <row r="8" spans="1:14" ht="15.5" x14ac:dyDescent="0.35">
      <c r="A8" s="2" t="s">
        <v>93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.5" x14ac:dyDescent="0.35">
      <c r="A9" s="2"/>
      <c r="B9" s="17" t="s">
        <v>94</v>
      </c>
      <c r="C9" s="17"/>
      <c r="D9" s="2"/>
      <c r="E9" s="2"/>
      <c r="F9" s="17" t="s">
        <v>95</v>
      </c>
      <c r="G9" s="17"/>
      <c r="H9" s="2"/>
      <c r="I9" s="2"/>
      <c r="J9" s="2"/>
      <c r="K9" s="2"/>
      <c r="L9" s="2"/>
      <c r="M9" s="2"/>
      <c r="N9" s="2"/>
    </row>
    <row r="10" spans="1:14" ht="17.5" x14ac:dyDescent="0.45">
      <c r="A10" s="2"/>
      <c r="B10" s="18" t="s">
        <v>96</v>
      </c>
      <c r="C10" s="19">
        <v>100</v>
      </c>
      <c r="D10" s="6"/>
      <c r="E10" s="8"/>
      <c r="F10" s="18" t="s">
        <v>97</v>
      </c>
      <c r="G10" s="19">
        <v>125</v>
      </c>
      <c r="H10" s="2"/>
      <c r="I10" s="2"/>
      <c r="J10" s="2"/>
      <c r="K10" s="2"/>
      <c r="L10" s="2"/>
      <c r="M10" s="2"/>
      <c r="N10" s="2"/>
    </row>
    <row r="11" spans="1:14" ht="17.5" x14ac:dyDescent="0.45">
      <c r="A11" s="2"/>
      <c r="B11" s="18" t="s">
        <v>98</v>
      </c>
      <c r="C11" s="19">
        <v>260</v>
      </c>
      <c r="D11" s="6"/>
      <c r="E11" s="8"/>
      <c r="F11" s="18" t="s">
        <v>99</v>
      </c>
      <c r="G11" s="19">
        <v>258</v>
      </c>
      <c r="H11" s="2"/>
      <c r="I11" s="2"/>
      <c r="J11" s="2"/>
      <c r="K11" s="2"/>
      <c r="L11" s="2"/>
      <c r="M11" s="2"/>
      <c r="N11" s="2"/>
    </row>
    <row r="12" spans="1:14" ht="17.5" x14ac:dyDescent="0.45">
      <c r="A12" s="2"/>
      <c r="B12" s="18" t="s">
        <v>100</v>
      </c>
      <c r="C12" s="19">
        <v>5</v>
      </c>
      <c r="D12" s="6"/>
      <c r="E12" s="8"/>
      <c r="F12" s="18" t="s">
        <v>101</v>
      </c>
      <c r="G12" s="19">
        <v>10</v>
      </c>
      <c r="H12" s="2"/>
      <c r="I12" s="2"/>
      <c r="J12" s="2"/>
      <c r="K12" s="2"/>
      <c r="L12" s="2"/>
      <c r="M12" s="2"/>
      <c r="N12" s="2"/>
    </row>
    <row r="13" spans="1:14" ht="15.5" x14ac:dyDescent="0.35">
      <c r="A13" s="2"/>
      <c r="B13" s="20"/>
      <c r="C13" s="21"/>
      <c r="D13" s="6"/>
      <c r="E13" s="8"/>
      <c r="F13" s="20"/>
      <c r="G13" s="21"/>
      <c r="H13" s="2"/>
      <c r="I13" s="2"/>
      <c r="J13" s="2"/>
      <c r="K13" s="2"/>
      <c r="L13" s="2"/>
      <c r="M13" s="2"/>
      <c r="N13" s="2"/>
    </row>
    <row r="14" spans="1:14" ht="15.5" x14ac:dyDescent="0.35">
      <c r="A14" s="2"/>
      <c r="B14" s="6"/>
      <c r="C14" s="2" t="s">
        <v>75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7.5" x14ac:dyDescent="0.45">
      <c r="A15" s="2"/>
      <c r="B15" s="2"/>
      <c r="C15" s="2" t="s">
        <v>102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7.5" x14ac:dyDescent="0.45">
      <c r="A16" s="2"/>
      <c r="B16" s="2"/>
      <c r="C16" s="2" t="s">
        <v>103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5.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.5" x14ac:dyDescent="0.35">
      <c r="A18" s="2"/>
      <c r="B18" s="2"/>
      <c r="C18" s="2" t="s">
        <v>104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7.5" x14ac:dyDescent="0.45">
      <c r="A19" s="2"/>
      <c r="B19" s="2"/>
      <c r="C19" s="2"/>
      <c r="D19" s="6" t="s">
        <v>105</v>
      </c>
      <c r="E19" s="8">
        <f>SQRT(C12^2/C10+G12^2/G10)</f>
        <v>1.0246950765959599</v>
      </c>
      <c r="F19" s="2" t="str">
        <f ca="1">_xlfn.FORMULATEXT(E19)</f>
        <v>=SQRT(C12^2/C10+G12^2/G10)</v>
      </c>
      <c r="G19" s="2"/>
      <c r="H19" s="2"/>
      <c r="J19" s="2"/>
      <c r="K19" s="2"/>
      <c r="L19" s="2"/>
      <c r="M19" s="2"/>
      <c r="N19" s="2"/>
    </row>
    <row r="20" spans="1:14" ht="17.5" x14ac:dyDescent="0.45">
      <c r="A20" s="2"/>
      <c r="B20" s="2"/>
      <c r="C20" s="2"/>
      <c r="D20" s="6" t="s">
        <v>77</v>
      </c>
      <c r="E20" s="8">
        <f>(C11-G11)/E19</f>
        <v>1.9518001458970662</v>
      </c>
      <c r="F20" s="2" t="str">
        <f t="shared" ref="F20:F22" ca="1" si="0">_xlfn.FORMULATEXT(E20)</f>
        <v>=(C11-G11)/E19</v>
      </c>
      <c r="G20" s="2"/>
      <c r="H20" s="2"/>
      <c r="J20" s="2"/>
      <c r="K20" s="2"/>
      <c r="L20" s="2"/>
      <c r="M20" s="2"/>
      <c r="N20" s="2"/>
    </row>
    <row r="21" spans="1:14" ht="15.5" x14ac:dyDescent="0.35">
      <c r="A21" s="2"/>
      <c r="B21" s="2"/>
      <c r="C21" s="2"/>
      <c r="D21" s="6" t="s">
        <v>79</v>
      </c>
      <c r="E21" s="8">
        <v>0.05</v>
      </c>
      <c r="F21" s="2"/>
      <c r="G21" s="2"/>
      <c r="H21" s="2"/>
      <c r="J21" s="2"/>
      <c r="K21" s="2"/>
      <c r="L21" s="2"/>
      <c r="M21" s="2"/>
      <c r="N21" s="2"/>
    </row>
    <row r="22" spans="1:14" ht="17.5" x14ac:dyDescent="0.45">
      <c r="A22" s="2"/>
      <c r="B22" s="35" t="s">
        <v>107</v>
      </c>
      <c r="C22" s="35"/>
      <c r="D22" s="6" t="s">
        <v>80</v>
      </c>
      <c r="E22" s="8">
        <f xml:space="preserve"> NORMSINV(1 - E21)</f>
        <v>1.6448536269514715</v>
      </c>
      <c r="F22" s="2" t="str">
        <f t="shared" ca="1" si="0"/>
        <v>= NORMSINV(1 - E21)</v>
      </c>
      <c r="G22" s="2"/>
      <c r="H22" s="2"/>
      <c r="J22" s="2"/>
      <c r="K22" s="2"/>
      <c r="L22" s="2"/>
      <c r="M22" s="2"/>
      <c r="N22" s="2"/>
    </row>
    <row r="23" spans="1:14" ht="17.5" x14ac:dyDescent="0.45">
      <c r="A23" s="2"/>
      <c r="B23" s="2"/>
      <c r="C23" s="2" t="s">
        <v>106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5.5" x14ac:dyDescent="0.35">
      <c r="A24" s="2"/>
      <c r="B24" s="3"/>
      <c r="C24" s="3"/>
      <c r="D24" s="3" t="s">
        <v>108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.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3" spans="5:5" x14ac:dyDescent="0.35">
      <c r="E33" t="s">
        <v>82</v>
      </c>
    </row>
  </sheetData>
  <mergeCells count="1">
    <mergeCell ref="B22:C22"/>
  </mergeCells>
  <printOptions headings="1" gridLines="1"/>
  <pageMargins left="0.7" right="0.7" top="0.75" bottom="0.75" header="0.3" footer="0.3"/>
  <pageSetup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I14" sqref="I14"/>
    </sheetView>
  </sheetViews>
  <sheetFormatPr defaultColWidth="8.90625" defaultRowHeight="15.5" x14ac:dyDescent="0.35"/>
  <cols>
    <col min="1" max="16384" width="8.90625" style="2"/>
  </cols>
  <sheetData>
    <row r="1" spans="1:10" x14ac:dyDescent="0.35">
      <c r="A1" s="1" t="s">
        <v>113</v>
      </c>
    </row>
    <row r="2" spans="1:10" x14ac:dyDescent="0.35">
      <c r="A2" s="1" t="s">
        <v>112</v>
      </c>
    </row>
    <row r="3" spans="1:10" x14ac:dyDescent="0.35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x14ac:dyDescent="0.35">
      <c r="A4" s="2" t="s">
        <v>114</v>
      </c>
    </row>
    <row r="5" spans="1:10" x14ac:dyDescent="0.35">
      <c r="B5" s="6"/>
      <c r="C5" s="6" t="s">
        <v>115</v>
      </c>
      <c r="D5" s="22">
        <v>1024</v>
      </c>
    </row>
    <row r="6" spans="1:10" x14ac:dyDescent="0.35">
      <c r="B6" s="6"/>
      <c r="C6" s="6" t="s">
        <v>116</v>
      </c>
      <c r="D6" s="22">
        <v>160</v>
      </c>
    </row>
    <row r="7" spans="1:10" x14ac:dyDescent="0.35">
      <c r="B7" s="6"/>
      <c r="C7" s="6" t="s">
        <v>117</v>
      </c>
      <c r="D7" s="22">
        <f>D6/D5</f>
        <v>0.15625</v>
      </c>
      <c r="E7" s="2" t="str">
        <f ca="1">_xlfn.FORMULATEXT(D7)</f>
        <v>=D6/D5</v>
      </c>
    </row>
    <row r="8" spans="1:10" x14ac:dyDescent="0.35">
      <c r="C8" s="6" t="s">
        <v>118</v>
      </c>
      <c r="D8" s="22">
        <f>1/6</f>
        <v>0.16666666666666666</v>
      </c>
      <c r="E8" s="2" t="str">
        <f t="shared" ref="E8:E9" ca="1" si="0">_xlfn.FORMULATEXT(D8)</f>
        <v>=1/6</v>
      </c>
    </row>
    <row r="9" spans="1:10" x14ac:dyDescent="0.35">
      <c r="C9" s="6" t="s">
        <v>119</v>
      </c>
      <c r="D9" s="22">
        <f>1-D8</f>
        <v>0.83333333333333337</v>
      </c>
      <c r="E9" s="2" t="str">
        <f t="shared" ca="1" si="0"/>
        <v>=1-D8</v>
      </c>
    </row>
    <row r="10" spans="1:10" x14ac:dyDescent="0.35">
      <c r="B10" s="2" t="s">
        <v>75</v>
      </c>
      <c r="C10" s="6"/>
    </row>
    <row r="11" spans="1:10" ht="17.5" x14ac:dyDescent="0.45">
      <c r="B11" s="2" t="s">
        <v>120</v>
      </c>
      <c r="C11" s="6"/>
    </row>
    <row r="12" spans="1:10" ht="17.5" x14ac:dyDescent="0.45">
      <c r="B12" s="2" t="s">
        <v>121</v>
      </c>
    </row>
    <row r="14" spans="1:10" ht="17.5" x14ac:dyDescent="0.45">
      <c r="B14" s="2" t="s">
        <v>144</v>
      </c>
    </row>
    <row r="15" spans="1:10" x14ac:dyDescent="0.35">
      <c r="C15" s="6" t="s">
        <v>122</v>
      </c>
      <c r="D15" s="22">
        <f>SQRT(D8*D9/D5)</f>
        <v>1.1646187382811405E-2</v>
      </c>
      <c r="E15" s="2" t="str">
        <f ca="1">_xlfn.FORMULATEXT(D15)</f>
        <v>=SQRT(D8*D9/D5)</v>
      </c>
    </row>
    <row r="16" spans="1:10" ht="17.5" x14ac:dyDescent="0.45">
      <c r="C16" s="6" t="s">
        <v>77</v>
      </c>
      <c r="D16" s="22">
        <f>(D7-D8)/D15</f>
        <v>-0.89442719099991508</v>
      </c>
      <c r="E16" s="2" t="str">
        <f t="shared" ref="E16:E19" ca="1" si="1">_xlfn.FORMULATEXT(D16)</f>
        <v>=(D7-D8)/D15</v>
      </c>
    </row>
    <row r="17" spans="2:5" ht="17.5" x14ac:dyDescent="0.45">
      <c r="C17" s="6" t="s">
        <v>78</v>
      </c>
      <c r="D17" s="22">
        <f>ABS(D16)</f>
        <v>0.89442719099991508</v>
      </c>
      <c r="E17" s="2" t="str">
        <f t="shared" ca="1" si="1"/>
        <v>=ABS(D16)</v>
      </c>
    </row>
    <row r="18" spans="2:5" x14ac:dyDescent="0.35">
      <c r="C18" s="6" t="s">
        <v>79</v>
      </c>
      <c r="D18" s="22">
        <v>7.0000000000000007E-2</v>
      </c>
    </row>
    <row r="19" spans="2:5" ht="17.5" x14ac:dyDescent="0.45">
      <c r="C19" s="6" t="s">
        <v>80</v>
      </c>
      <c r="D19" s="22">
        <f>NORMSINV(1-D18/2)</f>
        <v>1.8119106729525971</v>
      </c>
      <c r="E19" s="2" t="str">
        <f t="shared" ca="1" si="1"/>
        <v>=NORMSINV(1-D18/2)</v>
      </c>
    </row>
    <row r="21" spans="2:5" ht="17.5" x14ac:dyDescent="0.45">
      <c r="B21" s="2" t="s">
        <v>124</v>
      </c>
    </row>
    <row r="22" spans="2:5" x14ac:dyDescent="0.35">
      <c r="C22" s="2" t="s">
        <v>123</v>
      </c>
    </row>
    <row r="33" spans="4:4" x14ac:dyDescent="0.35">
      <c r="D33" s="2" t="s">
        <v>37</v>
      </c>
    </row>
  </sheetData>
  <printOptions headings="1" gridLines="1"/>
  <pageMargins left="0.7" right="0.7" top="0.75" bottom="0.75" header="0.3" footer="0.3"/>
  <pageSetup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zoomScale="88" workbookViewId="0">
      <selection activeCell="B17" sqref="B17:B18"/>
    </sheetView>
  </sheetViews>
  <sheetFormatPr defaultColWidth="8.90625" defaultRowHeight="15.5" x14ac:dyDescent="0.35"/>
  <cols>
    <col min="1" max="2" width="8.90625" style="2"/>
    <col min="3" max="3" width="10.54296875" style="2" customWidth="1"/>
    <col min="4" max="16384" width="8.90625" style="2"/>
  </cols>
  <sheetData>
    <row r="1" spans="1:10" x14ac:dyDescent="0.35">
      <c r="A1" s="1" t="s">
        <v>125</v>
      </c>
      <c r="B1" s="1"/>
      <c r="C1" s="1"/>
      <c r="D1" s="1"/>
      <c r="E1" s="1"/>
      <c r="F1" s="1"/>
      <c r="G1" s="1"/>
      <c r="H1" s="1"/>
    </row>
    <row r="2" spans="1:10" x14ac:dyDescent="0.35">
      <c r="A2" s="1" t="s">
        <v>126</v>
      </c>
      <c r="B2" s="1"/>
      <c r="C2" s="1"/>
      <c r="D2" s="1"/>
      <c r="E2" s="1"/>
      <c r="F2" s="1"/>
      <c r="G2" s="1"/>
      <c r="H2" s="1"/>
    </row>
    <row r="3" spans="1:10" x14ac:dyDescent="0.35">
      <c r="A3" s="1"/>
      <c r="C3" s="13" t="s">
        <v>127</v>
      </c>
      <c r="D3" s="13"/>
      <c r="F3" s="13" t="s">
        <v>128</v>
      </c>
      <c r="G3" s="13"/>
      <c r="H3" s="1"/>
    </row>
    <row r="4" spans="1:10" ht="18" x14ac:dyDescent="0.45">
      <c r="A4" s="1"/>
      <c r="B4" s="11" t="s">
        <v>129</v>
      </c>
      <c r="C4" s="14" t="s">
        <v>87</v>
      </c>
      <c r="D4" s="15">
        <v>1000</v>
      </c>
      <c r="F4" s="14" t="s">
        <v>88</v>
      </c>
      <c r="G4" s="15">
        <v>800</v>
      </c>
      <c r="H4" s="1"/>
    </row>
    <row r="5" spans="1:10" ht="18" x14ac:dyDescent="0.45">
      <c r="A5" s="1"/>
      <c r="B5" s="11" t="s">
        <v>130</v>
      </c>
      <c r="C5" s="14" t="s">
        <v>131</v>
      </c>
      <c r="D5" s="15">
        <v>600</v>
      </c>
      <c r="F5" s="14" t="s">
        <v>132</v>
      </c>
      <c r="G5" s="15">
        <v>500</v>
      </c>
      <c r="H5" s="1"/>
    </row>
    <row r="6" spans="1:10" x14ac:dyDescent="0.35">
      <c r="A6" s="30"/>
      <c r="B6" s="31"/>
      <c r="C6" s="31"/>
      <c r="D6" s="32"/>
      <c r="E6" s="31"/>
      <c r="F6" s="31"/>
      <c r="G6" s="30"/>
      <c r="H6" s="30"/>
      <c r="I6" s="31"/>
      <c r="J6" s="31"/>
    </row>
    <row r="7" spans="1:10" x14ac:dyDescent="0.35">
      <c r="A7" s="2" t="s">
        <v>133</v>
      </c>
    </row>
    <row r="8" spans="1:10" x14ac:dyDescent="0.35">
      <c r="A8" s="1"/>
      <c r="C8" s="36" t="s">
        <v>127</v>
      </c>
      <c r="D8" s="36"/>
      <c r="F8" s="36" t="s">
        <v>128</v>
      </c>
      <c r="G8" s="36"/>
    </row>
    <row r="9" spans="1:10" ht="17.5" x14ac:dyDescent="0.45">
      <c r="A9" s="1"/>
      <c r="B9" s="6" t="s">
        <v>129</v>
      </c>
      <c r="C9" s="20" t="s">
        <v>96</v>
      </c>
      <c r="D9" s="21">
        <v>1000</v>
      </c>
      <c r="F9" s="20" t="s">
        <v>97</v>
      </c>
      <c r="G9" s="21">
        <v>800</v>
      </c>
    </row>
    <row r="10" spans="1:10" ht="17.5" x14ac:dyDescent="0.45">
      <c r="A10" s="1"/>
      <c r="B10" s="6" t="s">
        <v>130</v>
      </c>
      <c r="C10" s="20" t="s">
        <v>134</v>
      </c>
      <c r="D10" s="21">
        <v>600</v>
      </c>
      <c r="F10" s="20" t="s">
        <v>135</v>
      </c>
      <c r="G10" s="21">
        <v>500</v>
      </c>
    </row>
    <row r="11" spans="1:10" ht="17.5" x14ac:dyDescent="0.45">
      <c r="C11" s="6" t="s">
        <v>136</v>
      </c>
      <c r="D11" s="23">
        <f>D5/D4</f>
        <v>0.6</v>
      </c>
      <c r="F11" s="6" t="s">
        <v>137</v>
      </c>
      <c r="G11" s="23">
        <f>G10/G9</f>
        <v>0.625</v>
      </c>
    </row>
    <row r="12" spans="1:10" x14ac:dyDescent="0.35">
      <c r="C12" s="25"/>
      <c r="D12" s="25"/>
    </row>
    <row r="13" spans="1:10" x14ac:dyDescent="0.35">
      <c r="B13" s="2" t="s">
        <v>138</v>
      </c>
      <c r="C13" s="26"/>
      <c r="D13" s="21">
        <f>(D10+G10)/(D9+G9)</f>
        <v>0.61111111111111116</v>
      </c>
      <c r="E13" s="2" t="str">
        <f ca="1">_xlfn.FORMULATEXT(D13)</f>
        <v>=(D10+G10)/(D9+G9)</v>
      </c>
    </row>
    <row r="14" spans="1:10" x14ac:dyDescent="0.35">
      <c r="C14" s="20" t="s">
        <v>119</v>
      </c>
      <c r="D14" s="21">
        <f>1-D13</f>
        <v>0.38888888888888884</v>
      </c>
      <c r="E14" s="2" t="str">
        <f ca="1">_xlfn.FORMULATEXT(D14)</f>
        <v>=1-D13</v>
      </c>
      <c r="H14" s="29"/>
      <c r="I14" s="29"/>
    </row>
    <row r="15" spans="1:10" x14ac:dyDescent="0.35">
      <c r="C15" s="28"/>
      <c r="D15" s="27"/>
      <c r="H15" s="28"/>
      <c r="I15" s="27"/>
    </row>
    <row r="16" spans="1:10" x14ac:dyDescent="0.35">
      <c r="B16" s="2" t="s">
        <v>75</v>
      </c>
      <c r="C16" s="6"/>
      <c r="H16" s="28"/>
      <c r="I16" s="27"/>
    </row>
    <row r="17" spans="2:9" ht="17.5" x14ac:dyDescent="0.45">
      <c r="B17" s="2" t="s">
        <v>139</v>
      </c>
      <c r="C17" s="6"/>
      <c r="H17" s="28"/>
      <c r="I17" s="27"/>
    </row>
    <row r="18" spans="2:9" ht="17.5" x14ac:dyDescent="0.45">
      <c r="B18" s="2" t="s">
        <v>140</v>
      </c>
    </row>
    <row r="20" spans="2:9" ht="17.5" x14ac:dyDescent="0.45">
      <c r="B20" s="2" t="s">
        <v>144</v>
      </c>
    </row>
    <row r="21" spans="2:9" x14ac:dyDescent="0.35">
      <c r="C21" s="6" t="s">
        <v>122</v>
      </c>
      <c r="D21" s="23">
        <f>SQRT(D13*D14*(1/D9+1/G9))</f>
        <v>2.3124061542519347E-2</v>
      </c>
      <c r="E21" s="2" t="str">
        <f ca="1">_xlfn.FORMULATEXT(D21)</f>
        <v>=SQRT(D13*D14*(1/D9+1/G9))</v>
      </c>
    </row>
    <row r="22" spans="2:9" ht="17.5" x14ac:dyDescent="0.45">
      <c r="C22" s="6" t="s">
        <v>77</v>
      </c>
      <c r="D22" s="23">
        <f>(D11-G11)/D21</f>
        <v>-1.0811249552346718</v>
      </c>
      <c r="E22" s="2" t="str">
        <f t="shared" ref="E22:E27" ca="1" si="0">_xlfn.FORMULATEXT(D22)</f>
        <v>=(D11-G11)/D21</v>
      </c>
    </row>
    <row r="23" spans="2:9" ht="17.5" x14ac:dyDescent="0.45">
      <c r="C23" s="6" t="s">
        <v>78</v>
      </c>
      <c r="D23" s="23">
        <f>ABS(D22)</f>
        <v>1.0811249552346718</v>
      </c>
      <c r="E23" s="2" t="str">
        <f t="shared" ca="1" si="0"/>
        <v>=ABS(D22)</v>
      </c>
    </row>
    <row r="24" spans="2:9" x14ac:dyDescent="0.35">
      <c r="C24" s="6" t="s">
        <v>141</v>
      </c>
      <c r="D24" s="23">
        <v>0.92</v>
      </c>
    </row>
    <row r="25" spans="2:9" x14ac:dyDescent="0.35">
      <c r="C25" s="6" t="s">
        <v>79</v>
      </c>
      <c r="D25" s="23">
        <f>1-D24</f>
        <v>7.999999999999996E-2</v>
      </c>
      <c r="E25" s="2" t="str">
        <f t="shared" ca="1" si="0"/>
        <v>=1-D24</v>
      </c>
    </row>
    <row r="26" spans="2:9" x14ac:dyDescent="0.35">
      <c r="B26" s="2" t="s">
        <v>143</v>
      </c>
      <c r="C26" s="6"/>
      <c r="D26" s="23"/>
    </row>
    <row r="27" spans="2:9" ht="17.5" x14ac:dyDescent="0.45">
      <c r="C27" s="6" t="s">
        <v>80</v>
      </c>
      <c r="D27" s="23">
        <f>NORMSINV(1-D25)</f>
        <v>1.4050715603096329</v>
      </c>
      <c r="E27" s="2" t="str">
        <f t="shared" ca="1" si="0"/>
        <v>=NORMSINV(1-D25)</v>
      </c>
    </row>
    <row r="29" spans="2:9" ht="17.5" x14ac:dyDescent="0.45">
      <c r="B29" s="2" t="s">
        <v>142</v>
      </c>
    </row>
    <row r="30" spans="2:9" x14ac:dyDescent="0.35">
      <c r="C30" s="2" t="s">
        <v>145</v>
      </c>
    </row>
    <row r="40" spans="5:5" x14ac:dyDescent="0.35">
      <c r="E40" s="2" t="s">
        <v>37</v>
      </c>
    </row>
  </sheetData>
  <mergeCells count="2">
    <mergeCell ref="C8:D8"/>
    <mergeCell ref="F8:G8"/>
  </mergeCells>
  <printOptions headings="1" gridLines="1"/>
  <pageMargins left="0.7" right="0.7" top="0.75" bottom="0.75" header="0.3" footer="0.3"/>
  <pageSetup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D31" sqref="D31"/>
    </sheetView>
  </sheetViews>
  <sheetFormatPr defaultColWidth="8.90625" defaultRowHeight="15.5" x14ac:dyDescent="0.35"/>
  <cols>
    <col min="1" max="16384" width="8.90625" style="2"/>
  </cols>
  <sheetData>
    <row r="1" spans="1:10" x14ac:dyDescent="0.35">
      <c r="A1" s="2" t="s">
        <v>146</v>
      </c>
    </row>
    <row r="2" spans="1:10" x14ac:dyDescent="0.35">
      <c r="A2" s="2" t="s">
        <v>159</v>
      </c>
    </row>
    <row r="3" spans="1:10" x14ac:dyDescent="0.35">
      <c r="A3" s="19">
        <v>1250</v>
      </c>
      <c r="B3" s="19">
        <v>1400</v>
      </c>
      <c r="C3" s="19">
        <v>1850</v>
      </c>
      <c r="D3" s="19">
        <v>2000</v>
      </c>
      <c r="E3" s="19">
        <v>2200</v>
      </c>
      <c r="F3" s="19">
        <v>1750</v>
      </c>
      <c r="G3" s="19">
        <v>1950</v>
      </c>
      <c r="H3" s="19">
        <v>1900</v>
      </c>
      <c r="I3" s="19">
        <v>1200</v>
      </c>
      <c r="J3" s="19">
        <v>1000</v>
      </c>
    </row>
    <row r="4" spans="1:10" x14ac:dyDescent="0.35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0" x14ac:dyDescent="0.35">
      <c r="A5" s="2" t="s">
        <v>114</v>
      </c>
    </row>
    <row r="6" spans="1:10" x14ac:dyDescent="0.35">
      <c r="B6" s="6"/>
      <c r="C6" s="6" t="s">
        <v>147</v>
      </c>
      <c r="D6" s="33">
        <f>COUNT(A3:J3)</f>
        <v>10</v>
      </c>
      <c r="E6" s="2" t="str">
        <f ca="1">_xlfn.FORMULATEXT(D6)</f>
        <v>=COUNT(A3:J3)</v>
      </c>
    </row>
    <row r="7" spans="1:10" x14ac:dyDescent="0.35">
      <c r="B7" s="6"/>
      <c r="C7" s="6" t="s">
        <v>148</v>
      </c>
      <c r="D7" s="33">
        <v>1500</v>
      </c>
    </row>
    <row r="8" spans="1:10" x14ac:dyDescent="0.35">
      <c r="B8" s="6"/>
      <c r="C8" s="6" t="s">
        <v>149</v>
      </c>
      <c r="D8" s="33">
        <f>AVERAGE(A3:J3)</f>
        <v>1650</v>
      </c>
      <c r="E8" s="2" t="str">
        <f t="shared" ref="E8:E9" ca="1" si="0">_xlfn.FORMULATEXT(D8)</f>
        <v>=AVERAGE(A3:J3)</v>
      </c>
    </row>
    <row r="9" spans="1:10" x14ac:dyDescent="0.35">
      <c r="B9" s="6"/>
      <c r="C9" s="6" t="s">
        <v>150</v>
      </c>
      <c r="D9" s="33">
        <f>_xlfn.STDEV.S(A3:J3)</f>
        <v>404.83192671637062</v>
      </c>
      <c r="E9" s="2" t="str">
        <f t="shared" ca="1" si="0"/>
        <v>=STDEV.S(A3:J3)</v>
      </c>
    </row>
    <row r="10" spans="1:10" x14ac:dyDescent="0.35">
      <c r="B10" s="6"/>
      <c r="C10" s="6"/>
    </row>
    <row r="11" spans="1:10" x14ac:dyDescent="0.35">
      <c r="B11" s="2" t="s">
        <v>151</v>
      </c>
    </row>
    <row r="12" spans="1:10" ht="17.5" x14ac:dyDescent="0.45">
      <c r="B12" s="2" t="s">
        <v>152</v>
      </c>
    </row>
    <row r="13" spans="1:10" ht="17.5" x14ac:dyDescent="0.45">
      <c r="B13" s="2" t="s">
        <v>153</v>
      </c>
    </row>
    <row r="15" spans="1:10" x14ac:dyDescent="0.35">
      <c r="C15" s="6" t="s">
        <v>76</v>
      </c>
      <c r="D15" s="33">
        <f>D9/SQRT(D6)</f>
        <v>128.01909579781011</v>
      </c>
      <c r="E15" s="2" t="str">
        <f ca="1">_xlfn.FORMULATEXT(D15)</f>
        <v>=D9/SQRT(D6)</v>
      </c>
    </row>
    <row r="16" spans="1:10" ht="17.5" x14ac:dyDescent="0.45">
      <c r="C16" s="6" t="s">
        <v>156</v>
      </c>
      <c r="D16" s="33">
        <f>(D8-D7)/D15</f>
        <v>1.1717001988274149</v>
      </c>
      <c r="E16" s="2" t="str">
        <f t="shared" ref="E16:E20" ca="1" si="1">_xlfn.FORMULATEXT(D16)</f>
        <v>=(D8-D7)/D15</v>
      </c>
    </row>
    <row r="17" spans="2:5" x14ac:dyDescent="0.35">
      <c r="C17" s="6" t="s">
        <v>154</v>
      </c>
      <c r="D17" s="34">
        <v>0.9</v>
      </c>
    </row>
    <row r="18" spans="2:5" x14ac:dyDescent="0.35">
      <c r="C18" s="6" t="s">
        <v>79</v>
      </c>
      <c r="D18" s="33">
        <f>1-D17</f>
        <v>9.9999999999999978E-2</v>
      </c>
      <c r="E18" s="2" t="str">
        <f t="shared" ca="1" si="1"/>
        <v>=1-D17</v>
      </c>
    </row>
    <row r="19" spans="2:5" x14ac:dyDescent="0.35">
      <c r="C19" s="6" t="s">
        <v>157</v>
      </c>
      <c r="D19" s="33">
        <f>D6-1</f>
        <v>9</v>
      </c>
      <c r="E19" s="2" t="str">
        <f t="shared" ca="1" si="1"/>
        <v>=D6-1</v>
      </c>
    </row>
    <row r="20" spans="2:5" ht="17.5" x14ac:dyDescent="0.45">
      <c r="C20" s="6" t="s">
        <v>158</v>
      </c>
      <c r="D20" s="33">
        <f>_xlfn.T.INV.2T(D18,D19)</f>
        <v>1.8331129326562374</v>
      </c>
      <c r="E20" s="2" t="str">
        <f t="shared" ca="1" si="1"/>
        <v>=T.INV.2T(D18,D19)</v>
      </c>
    </row>
    <row r="22" spans="2:5" ht="17.5" x14ac:dyDescent="0.45">
      <c r="B22" s="2" t="s">
        <v>160</v>
      </c>
    </row>
    <row r="23" spans="2:5" x14ac:dyDescent="0.35">
      <c r="C23" s="2" t="s">
        <v>155</v>
      </c>
    </row>
    <row r="30" spans="2:5" x14ac:dyDescent="0.35">
      <c r="D30" s="2" t="s">
        <v>161</v>
      </c>
    </row>
  </sheetData>
  <printOptions headings="1" gridLines="1"/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stats 1</vt:lpstr>
      <vt:lpstr>stats 2</vt:lpstr>
      <vt:lpstr>stats 3</vt:lpstr>
      <vt:lpstr>stats 4</vt:lpstr>
      <vt:lpstr>stats 5</vt:lpstr>
      <vt:lpstr>stats 6</vt:lpstr>
      <vt:lpstr>stats 7</vt:lpstr>
      <vt:lpstr>stats 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lastPrinted>2025-01-02T13:39:52Z</cp:lastPrinted>
  <dcterms:created xsi:type="dcterms:W3CDTF">2024-12-29T04:34:12Z</dcterms:created>
  <dcterms:modified xsi:type="dcterms:W3CDTF">2025-01-03T05:07:16Z</dcterms:modified>
</cp:coreProperties>
</file>