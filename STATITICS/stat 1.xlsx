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<sst xmlns="http://schemas.openxmlformats.org/spreadsheetml/2006/main" count="49" uniqueCount="35">
  <si>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In a sample of 256 students, average marks is found to be 56 with standard deviation 12.</t>
  </si>
  <si>
    <t>Construct i) 95% C.I. for Population Mean.</t>
  </si>
  <si>
    <t>ii) 92% C.I. for Population Mean.</t>
  </si>
  <si>
    <t>iii) Confidence interval such that population mean will probably lie.</t>
  </si>
  <si>
    <t>Solution:- Here,we have</t>
  </si>
  <si>
    <t xml:space="preserve">Sample Size (n) = </t>
  </si>
  <si>
    <t xml:space="preserve">Sample mean (x*) = </t>
  </si>
  <si>
    <t xml:space="preserve">Sample SD (σ) = </t>
  </si>
  <si>
    <t xml:space="preserve">S.E(x*) = </t>
  </si>
  <si>
    <t>For i) 95% Confidence interval for Population mean</t>
  </si>
  <si>
    <t xml:space="preserve">Here, C.I. (1-α) = </t>
  </si>
  <si>
    <t xml:space="preserve">α = </t>
  </si>
  <si>
    <t>Zα =</t>
  </si>
  <si>
    <t xml:space="preserve">Here, Lower limit = </t>
  </si>
  <si>
    <t xml:space="preserve">Upper limit = </t>
  </si>
  <si>
    <t>For ii) 92% Confidence interval for Population mean</t>
  </si>
  <si>
    <t>In a sample of 200 employees, number of smoker found is 75.</t>
  </si>
  <si>
    <t>Construct i) 99% C.I. for population proportion of smoker.</t>
  </si>
  <si>
    <t>ii) 90% C.I. for population proportion.</t>
  </si>
  <si>
    <t>iii) Confidence interval such that population proportion of smoker certainly lie.</t>
  </si>
  <si>
    <t>Solution:-Here, we have</t>
  </si>
  <si>
    <t>Sample Size (n) =</t>
  </si>
  <si>
    <t xml:space="preserve"> </t>
  </si>
  <si>
    <t>No of smoker(x) =</t>
  </si>
  <si>
    <t xml:space="preserve">Sample proportion (p) = </t>
  </si>
  <si>
    <t>q =</t>
  </si>
  <si>
    <t>S.E(p) =</t>
  </si>
  <si>
    <t>For i) 99% Confidence interval for Population proportion</t>
  </si>
  <si>
    <t>Here, C.I. (1-α) =</t>
  </si>
  <si>
    <t xml:space="preserve">Zα = </t>
  </si>
  <si>
    <t>Upper Limit =</t>
  </si>
  <si>
    <t>For ii) 90% Confidence interval for Population mean</t>
  </si>
  <si>
    <t>Here, Lower limit =</t>
  </si>
  <si>
    <t xml:space="preserve">For iii) For probably lie, we should take </t>
  </si>
  <si>
    <t>Name:- Hari bashyal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</si>
</sst>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G7" sqref="G7"/>
    </sheetView>
  </sheetViews>
  <sheetFormatPr defaultColWidth="9" defaultRowHeight="15.5" outlineLevelCol="4"/>
  <cols>
    <col min="1" max="1" width="8.89090909090909" style="1"/>
    <col min="2" max="2" width="10.1090909090909" style="1" customWidth="1"/>
    <col min="3" max="16384" width="8.89090909090909" style="1"/>
  </cols>
  <sheetData>
    <row r="1" spans="1:1">
      <c r="A1" s="2" t="s">
        <v>0</v>
      </c>
    </row>
    <row r="2" spans="1:1">
      <c r="A2" s="2" t="s">
        <v>1</v>
      </c>
    </row>
    <row r="3" spans="2:2">
      <c r="B3" s="2" t="s">
        <v>2</v>
      </c>
    </row>
    <row r="4" spans="2:2">
      <c r="B4" s="2" t="s">
        <v>3</v>
      </c>
    </row>
    <row r="6" spans="1:1">
      <c r="A6" s="1" t="s">
        <v>4</v>
      </c>
    </row>
    <row r="7" spans="1:4">
      <c r="A7" s="6"/>
      <c r="B7" s="6" t="s">
        <v>5</v>
      </c>
      <c r="C7" s="6"/>
      <c r="D7" s="5">
        <v>256</v>
      </c>
    </row>
    <row r="8" spans="1:4">
      <c r="A8" s="6"/>
      <c r="B8" s="6" t="s">
        <v>6</v>
      </c>
      <c r="C8" s="6"/>
      <c r="D8" s="5">
        <v>56</v>
      </c>
    </row>
    <row r="9" spans="1:4">
      <c r="A9" s="6"/>
      <c r="B9" s="6" t="s">
        <v>7</v>
      </c>
      <c r="C9" s="6"/>
      <c r="D9" s="5">
        <v>12</v>
      </c>
    </row>
    <row r="10" spans="1:4">
      <c r="A10" s="6"/>
      <c r="B10" s="6"/>
      <c r="C10" s="6"/>
      <c r="D10" s="5"/>
    </row>
    <row r="11" spans="1:5">
      <c r="A11" s="6"/>
      <c r="B11" s="6" t="s">
        <v>8</v>
      </c>
      <c r="C11" s="6"/>
      <c r="D11" s="5">
        <f>D9/SQRT(D7)</f>
        <v>0.75</v>
      </c>
      <c r="E11" s="1" t="str">
        <f>_xlfn.FORMULATEXT(D11)</f>
        <v>=D9/SQRT(D7)</v>
      </c>
    </row>
    <row r="12" spans="1:4">
      <c r="A12" s="1" t="s">
        <v>9</v>
      </c>
      <c r="B12" s="5"/>
      <c r="C12" s="5"/>
      <c r="D12" s="5"/>
    </row>
    <row r="13" spans="2:4">
      <c r="B13" s="5" t="s">
        <v>10</v>
      </c>
      <c r="C13" s="5"/>
      <c r="D13" s="5">
        <v>0.95</v>
      </c>
    </row>
    <row r="14" spans="2:5">
      <c r="B14" s="5" t="s">
        <v>11</v>
      </c>
      <c r="C14" s="5"/>
      <c r="D14" s="5">
        <f>1-D13</f>
        <v>0.05</v>
      </c>
      <c r="E14" s="1" t="str">
        <f>_xlfn.FORMULATEXT(D14)</f>
        <v>=1-D13</v>
      </c>
    </row>
    <row r="15" spans="2:5">
      <c r="B15" s="5" t="s">
        <v>12</v>
      </c>
      <c r="C15" s="5"/>
      <c r="D15" s="5">
        <f>NORMSINV(1-D14/2)</f>
        <v>1.95996398454005</v>
      </c>
      <c r="E15" s="1" t="str">
        <f>_xlfn.FORMULATEXT(D15)</f>
        <v>=NORMSINV(1-D14/2)</v>
      </c>
    </row>
    <row r="16" spans="2:5">
      <c r="B16" s="5" t="s">
        <v>13</v>
      </c>
      <c r="C16" s="5">
        <f>D8-D11*D15</f>
        <v>54.530027011595</v>
      </c>
      <c r="D16" s="5"/>
      <c r="E16" s="1" t="str">
        <f>_xlfn.FORMULATEXT(C16)</f>
        <v>=D8-D11*D15</v>
      </c>
    </row>
    <row r="17" spans="2:5">
      <c r="B17" s="5" t="s">
        <v>14</v>
      </c>
      <c r="C17" s="5">
        <f>D8+D11*D15</f>
        <v>57.469972988405</v>
      </c>
      <c r="D17" s="5"/>
      <c r="E17" s="1" t="str">
        <f>_xlfn.FORMULATEXT(C17)</f>
        <v>=D8+D11*D15</v>
      </c>
    </row>
    <row r="18" spans="2:4">
      <c r="B18" s="5"/>
      <c r="C18" s="5"/>
      <c r="D18" s="5"/>
    </row>
    <row r="19" spans="1:4">
      <c r="A19" s="1" t="s">
        <v>15</v>
      </c>
      <c r="B19" s="5"/>
      <c r="C19" s="5"/>
      <c r="D19" s="5"/>
    </row>
    <row r="20" spans="2:4">
      <c r="B20" s="1" t="s">
        <v>10</v>
      </c>
      <c r="D20" s="1">
        <v>0.92</v>
      </c>
    </row>
    <row r="21" spans="2:5">
      <c r="B21" s="1" t="s">
        <v>11</v>
      </c>
      <c r="D21" s="1">
        <f>1-D20</f>
        <v>0.08</v>
      </c>
      <c r="E21" s="1" t="str">
        <f t="shared" ref="E21:E24" si="0">_xlfn.FORMULATEXT(D21)</f>
        <v>=1-D20</v>
      </c>
    </row>
    <row r="22" spans="2:5">
      <c r="B22" s="1" t="s">
        <v>12</v>
      </c>
      <c r="D22" s="1">
        <f>NORMSINV(1-D21/2)</f>
        <v>1.75068607125217</v>
      </c>
      <c r="E22" s="1" t="str">
        <f t="shared" si="0"/>
        <v>=NORMSINV(1-D21/2)</v>
      </c>
    </row>
    <row r="23" spans="2:5">
      <c r="B23" s="1" t="s">
        <v>13</v>
      </c>
      <c r="D23" s="1">
        <f>D8-D11*D21</f>
        <v>55.94</v>
      </c>
      <c r="E23" s="1" t="str">
        <f t="shared" si="0"/>
        <v>=D8-D11*D21</v>
      </c>
    </row>
    <row r="24" spans="2:5">
      <c r="B24" s="1" t="s">
        <v>14</v>
      </c>
      <c r="D24" s="1">
        <f>D8+D11*D22</f>
        <v>57.3130145534391</v>
      </c>
      <c r="E24" s="1" t="str">
        <f t="shared" si="0"/>
        <v>=D8+D11*D22</v>
      </c>
    </row>
  </sheetData>
  <printOptions headings="1" gridLines="1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topLeftCell="A23" workbookViewId="0">
      <selection activeCell="F31" sqref="F31"/>
    </sheetView>
  </sheetViews>
  <sheetFormatPr defaultColWidth="9" defaultRowHeight="15.5" outlineLevelCol="5"/>
  <cols>
    <col min="1" max="1" width="8.89090909090909" style="1"/>
    <col min="2" max="2" width="10.7818181818182" style="1" customWidth="1"/>
    <col min="3" max="3" width="16.4454545454545" style="1" customWidth="1"/>
    <col min="4" max="16384" width="8.89090909090909" style="1"/>
  </cols>
  <sheetData>
    <row r="1" spans="1:1">
      <c r="A1" s="2" t="s">
        <v>16</v>
      </c>
    </row>
    <row r="2" spans="1:1">
      <c r="A2" s="2" t="s">
        <v>17</v>
      </c>
    </row>
    <row r="3" spans="2:2">
      <c r="B3" s="2" t="s">
        <v>18</v>
      </c>
    </row>
    <row r="4" spans="2:2">
      <c r="B4" s="2" t="s">
        <v>19</v>
      </c>
    </row>
    <row r="6" spans="1:1">
      <c r="A6" s="1" t="s">
        <v>20</v>
      </c>
    </row>
    <row r="7" spans="2:4">
      <c r="B7" s="3"/>
      <c r="C7" s="4" t="s">
        <v>21</v>
      </c>
      <c r="D7" s="5">
        <v>200</v>
      </c>
    </row>
    <row r="8" spans="2:4">
      <c r="B8" s="3" t="s">
        <v>22</v>
      </c>
      <c r="C8" s="6" t="s">
        <v>23</v>
      </c>
      <c r="D8" s="5">
        <v>75</v>
      </c>
    </row>
    <row r="9" spans="2:5">
      <c r="B9" s="6" t="s">
        <v>24</v>
      </c>
      <c r="C9" s="6"/>
      <c r="D9" s="5">
        <f>D8/D7</f>
        <v>0.375</v>
      </c>
      <c r="E9" s="1" t="str">
        <f>_xlfn.FORMULATEXT(D9)</f>
        <v>=D8/D7</v>
      </c>
    </row>
    <row r="10" spans="2:5">
      <c r="B10" s="4"/>
      <c r="C10" s="4" t="s">
        <v>25</v>
      </c>
      <c r="D10" s="5">
        <f>1-D9</f>
        <v>0.625</v>
      </c>
      <c r="E10" s="1" t="str">
        <f t="shared" ref="E10:E11" si="0">_xlfn.FORMULATEXT(D10)</f>
        <v>=1-D9</v>
      </c>
    </row>
    <row r="11" spans="2:5">
      <c r="B11" s="4"/>
      <c r="C11" s="4" t="s">
        <v>26</v>
      </c>
      <c r="D11" s="5">
        <f>SQRT(D9*D10/D7)</f>
        <v>0.0342326598440729</v>
      </c>
      <c r="E11" s="1" t="str">
        <f t="shared" si="0"/>
        <v>=SQRT(D9*D10/D7)</v>
      </c>
    </row>
    <row r="12" spans="1:3">
      <c r="A12" s="1" t="s">
        <v>27</v>
      </c>
      <c r="B12" s="4"/>
      <c r="C12" s="4"/>
    </row>
    <row r="13" spans="2:4">
      <c r="B13" s="4"/>
      <c r="C13" s="4" t="s">
        <v>28</v>
      </c>
      <c r="D13" s="5">
        <v>0.99</v>
      </c>
    </row>
    <row r="14" spans="2:5">
      <c r="B14" s="4"/>
      <c r="C14" s="4" t="s">
        <v>11</v>
      </c>
      <c r="D14" s="5">
        <f>1-D13</f>
        <v>0.01</v>
      </c>
      <c r="E14" s="1" t="str">
        <f>_xlfn.FORMULATEXT(D14)</f>
        <v>=1-D13</v>
      </c>
    </row>
    <row r="15" spans="2:5">
      <c r="B15" s="4"/>
      <c r="C15" s="4" t="s">
        <v>29</v>
      </c>
      <c r="D15" s="5">
        <f>NORMSINV(1-D14/2)</f>
        <v>2.5758293035489</v>
      </c>
      <c r="E15" s="1" t="str">
        <f>_xlfn.FORMULATEXT(D15)</f>
        <v>=NORMSINV(1-D14/2)</v>
      </c>
    </row>
    <row r="16" spans="2:5">
      <c r="B16" s="4"/>
      <c r="C16" s="4" t="s">
        <v>13</v>
      </c>
      <c r="D16" s="5">
        <f>D9-D11*D15</f>
        <v>0.286822511635215</v>
      </c>
      <c r="E16" s="1" t="str">
        <f t="shared" ref="E16:E17" si="1">_xlfn.FORMULATEXT(D16)</f>
        <v>=D9-D11*D15</v>
      </c>
    </row>
    <row r="17" spans="2:5">
      <c r="B17" s="4"/>
      <c r="C17" s="4" t="s">
        <v>30</v>
      </c>
      <c r="D17" s="5">
        <f>D10-D12*D16</f>
        <v>0.625</v>
      </c>
      <c r="E17" s="1" t="str">
        <f t="shared" si="1"/>
        <v>=D10-D12*D16</v>
      </c>
    </row>
    <row r="18" spans="2:3">
      <c r="B18" s="4"/>
      <c r="C18" s="4"/>
    </row>
    <row r="19" spans="1:3">
      <c r="A19" s="1" t="s">
        <v>31</v>
      </c>
      <c r="B19" s="4"/>
      <c r="C19" s="4"/>
    </row>
    <row r="20" spans="2:4">
      <c r="B20" s="4"/>
      <c r="C20" s="4" t="s">
        <v>28</v>
      </c>
      <c r="D20" s="5">
        <v>0.9</v>
      </c>
    </row>
    <row r="21" spans="2:5">
      <c r="B21" s="4"/>
      <c r="C21" s="4" t="s">
        <v>11</v>
      </c>
      <c r="D21" s="5">
        <f>1-D20</f>
        <v>0.1</v>
      </c>
      <c r="E21" s="1" t="str">
        <f>_xlfn.FORMULATEXT(D21)</f>
        <v>=1-D20</v>
      </c>
    </row>
    <row r="22" spans="2:5">
      <c r="B22" s="4"/>
      <c r="C22" s="4" t="s">
        <v>29</v>
      </c>
      <c r="D22" s="5">
        <f>NORMSINV(1-D21/2)</f>
        <v>1.64485362695147</v>
      </c>
      <c r="E22" s="1" t="str">
        <f t="shared" ref="E22:E24" si="2">_xlfn.FORMULATEXT(D22)</f>
        <v>=NORMSINV(1-D21/2)</v>
      </c>
    </row>
    <row r="23" spans="2:5">
      <c r="B23" s="4"/>
      <c r="C23" s="4" t="s">
        <v>32</v>
      </c>
      <c r="D23" s="5">
        <f>D9-D11*D22</f>
        <v>0.318692285295281</v>
      </c>
      <c r="E23" s="1" t="str">
        <f t="shared" si="2"/>
        <v>=D9-D11*D22</v>
      </c>
    </row>
    <row r="24" spans="2:5">
      <c r="B24" s="4"/>
      <c r="C24" s="4" t="s">
        <v>30</v>
      </c>
      <c r="D24" s="5">
        <f>D9+D11*D22</f>
        <v>0.431307714704719</v>
      </c>
      <c r="E24" s="1" t="str">
        <f t="shared" si="2"/>
        <v>=D9+D11*D22</v>
      </c>
    </row>
    <row r="25" spans="2:4">
      <c r="B25" s="4"/>
      <c r="C25" s="4"/>
      <c r="D25" s="5"/>
    </row>
    <row r="26" spans="1:4">
      <c r="A26" s="1" t="s">
        <v>33</v>
      </c>
      <c r="B26" s="4"/>
      <c r="C26" s="4"/>
      <c r="D26" s="5"/>
    </row>
    <row r="27" spans="2:4">
      <c r="B27" s="4"/>
      <c r="C27" s="4" t="s">
        <v>12</v>
      </c>
      <c r="D27" s="5">
        <v>3</v>
      </c>
    </row>
    <row r="28" spans="2:5">
      <c r="B28" s="4"/>
      <c r="C28" s="4" t="s">
        <v>32</v>
      </c>
      <c r="D28" s="5">
        <f>D9-D11*D27</f>
        <v>0.272302020467781</v>
      </c>
      <c r="E28" s="1" t="str">
        <f>_xlfn.FORMULATEXT(D28)</f>
        <v>=D9-D11*D27</v>
      </c>
    </row>
    <row r="29" spans="2:5">
      <c r="B29" s="4"/>
      <c r="C29" s="4" t="s">
        <v>30</v>
      </c>
      <c r="D29" s="5">
        <f>D9+D11*D27</f>
        <v>0.477697979532219</v>
      </c>
      <c r="E29" s="1" t="str">
        <f>_xlfn.FORMULATEXT(D29)</f>
        <v>=D9+D11*D27</v>
      </c>
    </row>
    <row r="31" spans="6:6">
      <c r="F31" s="1" t="s">
        <v>34</v>
      </c>
    </row>
  </sheetData>
  <printOptions headings="1" gridLines="1"/>
  <pageMargins left="0.7" right="0.7" top="0.75" bottom="0.75" header="0.3" footer="0.3"/>
  <pageSetup paperSize="1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2024-12-29T04:34:00Z</dcterms:created>
  <dcterms:modified xsi:type="dcterms:W3CDTF">2024-12-29T05:35:37Z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15458E5B195F4BD385CCC4E53CF74474_12</vt:lpwstr>
  </property>
  <property fmtid="{D5CDD505-2E9C-101B-9397-08002B2CF9AE}" pid="3" name="KSOProductBuildVer">
    <vt:lpwstr>1033-12.2.0.19307</vt:lpwstr>
  </property>
</Properties>
</file>