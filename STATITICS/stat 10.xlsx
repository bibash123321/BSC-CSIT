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STATITICS\"/>
    </mc:Choice>
  </mc:AlternateContent>
  <bookViews>
    <workbookView xWindow="0" yWindow="0" windowWidth="19200" windowHeight="81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8" i="2" l="1"/>
  <c r="D16" i="2" l="1"/>
  <c r="D15" i="2"/>
  <c r="D19" i="2"/>
  <c r="D7" i="2"/>
  <c r="D9" i="2"/>
  <c r="D10" i="2"/>
  <c r="D20" i="1"/>
  <c r="D19" i="1"/>
  <c r="D18" i="1"/>
  <c r="D10" i="1"/>
  <c r="D9" i="1"/>
  <c r="D7" i="1"/>
  <c r="E15" i="2"/>
  <c r="E16" i="2"/>
  <c r="E20" i="2"/>
  <c r="E18" i="1"/>
  <c r="E20" i="1"/>
  <c r="E10" i="2"/>
  <c r="E10" i="1"/>
  <c r="E19" i="2"/>
  <c r="E7" i="1"/>
  <c r="E18" i="2"/>
  <c r="E7" i="2"/>
  <c r="E9" i="2"/>
  <c r="E19" i="1"/>
  <c r="E16" i="1"/>
  <c r="E15" i="1"/>
  <c r="E9" i="1"/>
  <c r="D15" i="1" l="1"/>
  <c r="D16" i="1" s="1"/>
</calcChain>
</file>

<file path=xl/sharedStrings.xml><?xml version="1.0" encoding="utf-8"?>
<sst xmlns="http://schemas.openxmlformats.org/spreadsheetml/2006/main" count="40" uniqueCount="27">
  <si>
    <t>From the data of daily expenditure given below, test whether the average expenditure of a family is 1500</t>
  </si>
  <si>
    <t xml:space="preserve">Solution:- Here, we have </t>
  </si>
  <si>
    <t>Sample size(n)=</t>
  </si>
  <si>
    <t>Sample Mean(x*)=</t>
  </si>
  <si>
    <t>Sample SD(S) =</t>
  </si>
  <si>
    <t>Here , we set up Hypothesis as</t>
  </si>
  <si>
    <r>
      <t>Under H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 xml:space="preserve"> ,test statistics</t>
    </r>
  </si>
  <si>
    <t>Name :Krishna Raj Gautam </t>
  </si>
  <si>
    <r>
      <t>H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 xml:space="preserve"> : µ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= 1500 i.e Av. Exp. of family is Rs. 1500.</t>
    </r>
  </si>
  <si>
    <t>S.E(x*) = </t>
  </si>
  <si>
    <t>C.L.(1-α ) =</t>
  </si>
  <si>
    <t xml:space="preserve">     (α ) = </t>
  </si>
  <si>
    <t>conclusion that Av. Exp. of family is Rs. 1500.</t>
  </si>
  <si>
    <t>Pop. Mean (μ)=</t>
  </si>
  <si>
    <r>
      <t>T</t>
    </r>
    <r>
      <rPr>
        <b/>
        <vertAlign val="subscript"/>
        <sz val="12"/>
        <color theme="1"/>
        <rFont val="Times New Roman"/>
        <family val="1"/>
      </rPr>
      <t>cal</t>
    </r>
    <r>
      <rPr>
        <b/>
        <sz val="12"/>
        <color theme="1"/>
        <rFont val="Times New Roman"/>
        <family val="1"/>
      </rPr>
      <t xml:space="preserve"> =</t>
    </r>
  </si>
  <si>
    <t>d.f. =</t>
  </si>
  <si>
    <r>
      <t>T</t>
    </r>
    <r>
      <rPr>
        <b/>
        <vertAlign val="subscript"/>
        <sz val="12"/>
        <color theme="1"/>
        <rFont val="Times New Roman"/>
        <family val="1"/>
      </rPr>
      <t>tab</t>
    </r>
    <r>
      <rPr>
        <b/>
        <sz val="12"/>
        <color theme="1"/>
        <rFont val="Times New Roman"/>
        <family val="1"/>
      </rPr>
      <t xml:space="preserve"> = </t>
    </r>
  </si>
  <si>
    <t>of a family is 1500 per day at 90% confidence level.</t>
  </si>
  <si>
    <r>
      <t>Decision: - Since T</t>
    </r>
    <r>
      <rPr>
        <b/>
        <vertAlign val="subscript"/>
        <sz val="12"/>
        <color theme="1"/>
        <rFont val="Times New Roman"/>
        <family val="1"/>
      </rPr>
      <t>cal</t>
    </r>
    <r>
      <rPr>
        <b/>
        <sz val="12"/>
        <color theme="1"/>
        <rFont val="Times New Roman"/>
        <family val="1"/>
      </rPr>
      <t xml:space="preserve"> &lt; T</t>
    </r>
    <r>
      <rPr>
        <b/>
        <vertAlign val="subscript"/>
        <sz val="12"/>
        <color theme="1"/>
        <rFont val="Times New Roman"/>
        <family val="1"/>
      </rPr>
      <t>tab</t>
    </r>
    <r>
      <rPr>
        <b/>
        <sz val="12"/>
        <color theme="1"/>
        <rFont val="Times New Roman"/>
        <family val="1"/>
      </rPr>
      <t>,we accept H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 xml:space="preserve"> and reject H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with the </t>
    </r>
  </si>
  <si>
    <t xml:space="preserve">From the data of  marks of students in test given below, test whether the average marks </t>
  </si>
  <si>
    <r>
      <t>H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: µ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≠ 1500 i.e Av. Exp. of family is other than Rs. 1500.</t>
    </r>
  </si>
  <si>
    <r>
      <t>H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 xml:space="preserve"> : µ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&gt; 60 i.e the average marks of a student is atleast 60.</t>
    </r>
  </si>
  <si>
    <r>
      <t>H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: µ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 xml:space="preserve"> ≤ 60 i.e the average marks of a student is more than 60.</t>
    </r>
  </si>
  <si>
    <t>conclusion that the average marks of a student is more than 60.</t>
  </si>
  <si>
    <t>Name :Hari Bashyal</t>
  </si>
  <si>
    <t>of a student is atleast 60 or not at 90% confidence level.</t>
  </si>
  <si>
    <r>
      <t>Decision: - Since T</t>
    </r>
    <r>
      <rPr>
        <b/>
        <vertAlign val="subscript"/>
        <sz val="12"/>
        <color theme="1"/>
        <rFont val="Times New Roman"/>
        <family val="1"/>
      </rPr>
      <t>cal</t>
    </r>
    <r>
      <rPr>
        <b/>
        <sz val="12"/>
        <color theme="1"/>
        <rFont val="Times New Roman"/>
        <family val="1"/>
      </rPr>
      <t xml:space="preserve"> &lt; T</t>
    </r>
    <r>
      <rPr>
        <b/>
        <vertAlign val="subscript"/>
        <sz val="12"/>
        <color theme="1"/>
        <rFont val="Times New Roman"/>
        <family val="1"/>
      </rPr>
      <t>tab</t>
    </r>
    <r>
      <rPr>
        <b/>
        <sz val="12"/>
        <color theme="1"/>
        <rFont val="Times New Roman"/>
        <family val="1"/>
      </rPr>
      <t>,we reject H1 and accept H0 with the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</si>
</sst>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zoomScale="87" workbookViewId="0">
      <selection activeCell="D25" sqref="D25"/>
    </sheetView>
  </sheetViews>
  <sheetFormatPr defaultColWidth="10.83203125" defaultRowHeight="15" x14ac:dyDescent="0.3"/>
  <cols>
    <col min="1" max="16384" width="10.83203125" style="1"/>
  </cols>
  <sheetData>
    <row r="1" spans="1:10" x14ac:dyDescent="0.3">
      <c r="A1" s="1" t="s">
        <v>0</v>
      </c>
    </row>
    <row r="2" spans="1:10" x14ac:dyDescent="0.3">
      <c r="A2" s="1" t="s">
        <v>17</v>
      </c>
    </row>
    <row r="3" spans="1:10" x14ac:dyDescent="0.3">
      <c r="A3" s="2">
        <v>1250</v>
      </c>
      <c r="B3" s="2">
        <v>1400</v>
      </c>
      <c r="C3" s="2">
        <v>1850</v>
      </c>
      <c r="D3" s="2">
        <v>2000</v>
      </c>
      <c r="E3" s="2">
        <v>2200</v>
      </c>
      <c r="F3" s="2">
        <v>1750</v>
      </c>
      <c r="G3" s="2">
        <v>1950</v>
      </c>
      <c r="H3" s="2">
        <v>1900</v>
      </c>
      <c r="I3" s="2">
        <v>1200</v>
      </c>
      <c r="J3" s="2">
        <v>1000</v>
      </c>
    </row>
    <row r="5" spans="1:10" x14ac:dyDescent="0.3">
      <c r="A5" s="1" t="s">
        <v>1</v>
      </c>
    </row>
    <row r="6" spans="1:10" x14ac:dyDescent="0.3">
      <c r="A6" s="2">
        <v>1250</v>
      </c>
      <c r="B6" s="2">
        <v>1400</v>
      </c>
      <c r="C6" s="2">
        <v>1850</v>
      </c>
      <c r="D6" s="2">
        <v>2000</v>
      </c>
      <c r="E6" s="2">
        <v>2200</v>
      </c>
      <c r="F6" s="2">
        <v>1750</v>
      </c>
      <c r="G6" s="2">
        <v>1950</v>
      </c>
      <c r="H6" s="2">
        <v>1900</v>
      </c>
      <c r="I6" s="2">
        <v>1200</v>
      </c>
      <c r="J6" s="2">
        <v>1000</v>
      </c>
    </row>
    <row r="7" spans="1:10" x14ac:dyDescent="0.3">
      <c r="C7" s="8" t="s">
        <v>2</v>
      </c>
      <c r="D7" s="2">
        <f>COUNT(A3:J3)</f>
        <v>10</v>
      </c>
      <c r="E7" s="3" t="str">
        <f ca="1">_xlfn.FORMULATEXT(D7)</f>
        <v>=COUNT(A3:J3)</v>
      </c>
    </row>
    <row r="8" spans="1:10" x14ac:dyDescent="0.3">
      <c r="C8" s="8" t="s">
        <v>13</v>
      </c>
      <c r="D8" s="2">
        <v>1500</v>
      </c>
      <c r="E8" s="3"/>
    </row>
    <row r="9" spans="1:10" x14ac:dyDescent="0.3">
      <c r="C9" s="8" t="s">
        <v>3</v>
      </c>
      <c r="D9" s="2">
        <f>AVERAGE(A6:J6)</f>
        <v>1650</v>
      </c>
      <c r="E9" s="3" t="str">
        <f t="shared" ref="E9:E10" ca="1" si="0">_xlfn.FORMULATEXT(D9)</f>
        <v>=AVERAGE(A6:J6)</v>
      </c>
    </row>
    <row r="10" spans="1:10" x14ac:dyDescent="0.3">
      <c r="C10" s="8" t="s">
        <v>4</v>
      </c>
      <c r="D10" s="4">
        <f>_xlfn.STDEV.S(A6:J6)</f>
        <v>404.83192671637062</v>
      </c>
      <c r="E10" s="3" t="str">
        <f t="shared" ca="1" si="0"/>
        <v>=STDEV.S(A6:J6)</v>
      </c>
    </row>
    <row r="11" spans="1:10" ht="15.5" x14ac:dyDescent="0.35">
      <c r="B11" s="1" t="s">
        <v>5</v>
      </c>
      <c r="D11"/>
      <c r="E11"/>
      <c r="F11"/>
      <c r="G11"/>
      <c r="H11"/>
    </row>
    <row r="12" spans="1:10" ht="18" x14ac:dyDescent="0.45">
      <c r="B12" s="1" t="s">
        <v>8</v>
      </c>
      <c r="C12"/>
      <c r="D12"/>
      <c r="E12"/>
      <c r="F12"/>
      <c r="G12"/>
      <c r="H12"/>
    </row>
    <row r="13" spans="1:10" ht="18" x14ac:dyDescent="0.45">
      <c r="B13" s="1" t="s">
        <v>20</v>
      </c>
      <c r="C13"/>
      <c r="D13"/>
      <c r="E13"/>
      <c r="F13"/>
      <c r="G13"/>
      <c r="H13"/>
    </row>
    <row r="14" spans="1:10" ht="18" x14ac:dyDescent="0.45">
      <c r="B14" s="1" t="s">
        <v>6</v>
      </c>
      <c r="F14"/>
      <c r="G14"/>
      <c r="H14"/>
    </row>
    <row r="15" spans="1:10" ht="15.5" x14ac:dyDescent="0.35">
      <c r="C15" s="8" t="s">
        <v>9</v>
      </c>
      <c r="D15" s="5">
        <f>D10/SQRT(D7)</f>
        <v>128.01909579781011</v>
      </c>
      <c r="E15" s="3" t="str">
        <f ca="1">_xlfn.FORMULATEXT(D15)</f>
        <v>=D10/SQRT(D7)</v>
      </c>
      <c r="F15"/>
      <c r="G15"/>
      <c r="H15"/>
    </row>
    <row r="16" spans="1:10" ht="18" x14ac:dyDescent="0.45">
      <c r="C16" s="8" t="s">
        <v>14</v>
      </c>
      <c r="D16" s="4">
        <f>(D9-D8)/D15</f>
        <v>1.1717001988274149</v>
      </c>
      <c r="E16" s="3" t="str">
        <f t="shared" ref="E16:E19" ca="1" si="1">_xlfn.FORMULATEXT(D16)</f>
        <v>=(D9-D8)/D15</v>
      </c>
      <c r="G16"/>
      <c r="H16"/>
    </row>
    <row r="17" spans="2:8" ht="15.5" x14ac:dyDescent="0.35">
      <c r="C17" s="8" t="s">
        <v>10</v>
      </c>
      <c r="D17" s="6">
        <v>0.9</v>
      </c>
      <c r="E17" s="3"/>
      <c r="G17"/>
      <c r="H17"/>
    </row>
    <row r="18" spans="2:8" x14ac:dyDescent="0.3">
      <c r="C18" s="8" t="s">
        <v>11</v>
      </c>
      <c r="D18" s="5">
        <f>1-D17</f>
        <v>9.9999999999999978E-2</v>
      </c>
      <c r="E18" s="3" t="str">
        <f t="shared" ca="1" si="1"/>
        <v>=1-D17</v>
      </c>
      <c r="F18" s="3"/>
      <c r="G18" s="3"/>
    </row>
    <row r="19" spans="2:8" x14ac:dyDescent="0.3">
      <c r="C19" s="8" t="s">
        <v>15</v>
      </c>
      <c r="D19" s="7">
        <f>D7-1</f>
        <v>9</v>
      </c>
      <c r="E19" s="3" t="str">
        <f t="shared" ca="1" si="1"/>
        <v>=D7-1</v>
      </c>
      <c r="F19" s="3"/>
      <c r="G19" s="3"/>
    </row>
    <row r="20" spans="2:8" ht="18" x14ac:dyDescent="0.45">
      <c r="C20" s="8" t="s">
        <v>16</v>
      </c>
      <c r="D20" s="4">
        <f>_xlfn.T.INV.2T(D18,D19)</f>
        <v>1.8331129326562374</v>
      </c>
      <c r="E20" s="3" t="str">
        <f ca="1">_xlfn.FORMULATEXT(D20)</f>
        <v>=T.INV.2T(D18,D19)</v>
      </c>
      <c r="F20"/>
      <c r="G20"/>
      <c r="H20"/>
    </row>
    <row r="21" spans="2:8" ht="18" x14ac:dyDescent="0.45">
      <c r="B21" s="1" t="s">
        <v>18</v>
      </c>
      <c r="C21"/>
      <c r="D21"/>
      <c r="E21"/>
      <c r="F21"/>
      <c r="G21"/>
      <c r="H21"/>
    </row>
    <row r="22" spans="2:8" ht="15.5" x14ac:dyDescent="0.35">
      <c r="C22" s="1" t="s">
        <v>12</v>
      </c>
      <c r="D22"/>
      <c r="E22"/>
      <c r="F22"/>
      <c r="G22"/>
      <c r="H22"/>
    </row>
    <row r="24" spans="2:8" x14ac:dyDescent="0.3">
      <c r="C24" s="1" t="s">
        <v>7</v>
      </c>
    </row>
    <row r="25" spans="2:8" ht="15.5" x14ac:dyDescent="0.35">
      <c r="G25"/>
      <c r="H25"/>
    </row>
  </sheetData>
  <printOptions headings="1" gridLines="1"/>
  <pageMargins left="0.7" right="0.7" top="0.75" bottom="0.75" header="0.3" footer="0.3"/>
  <pageSetup paperSize="9" scale="7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abSelected="1" topLeftCell="A11" zoomScale="95" workbookViewId="0">
      <selection activeCell="B22" sqref="B22"/>
    </sheetView>
  </sheetViews>
  <sheetFormatPr defaultColWidth="10.83203125" defaultRowHeight="15" x14ac:dyDescent="0.3"/>
  <cols>
    <col min="1" max="16384" width="10.83203125" style="1"/>
  </cols>
  <sheetData>
    <row r="1" spans="1:10" x14ac:dyDescent="0.3">
      <c r="A1" s="1" t="s">
        <v>19</v>
      </c>
    </row>
    <row r="2" spans="1:10" x14ac:dyDescent="0.3">
      <c r="A2" s="1" t="s">
        <v>25</v>
      </c>
    </row>
    <row r="3" spans="1:10" x14ac:dyDescent="0.3">
      <c r="A3" s="2">
        <v>55</v>
      </c>
      <c r="B3" s="2">
        <v>65</v>
      </c>
      <c r="C3" s="2">
        <v>60</v>
      </c>
      <c r="D3" s="2">
        <v>62</v>
      </c>
      <c r="E3" s="2">
        <v>63</v>
      </c>
      <c r="F3" s="2">
        <v>45</v>
      </c>
      <c r="G3" s="2">
        <v>70</v>
      </c>
      <c r="H3" s="2">
        <v>75</v>
      </c>
      <c r="I3" s="2">
        <v>70</v>
      </c>
      <c r="J3" s="2">
        <v>65</v>
      </c>
    </row>
    <row r="5" spans="1:10" x14ac:dyDescent="0.3">
      <c r="A5" s="1" t="s">
        <v>1</v>
      </c>
    </row>
    <row r="6" spans="1:10" x14ac:dyDescent="0.3">
      <c r="A6" s="2">
        <v>55</v>
      </c>
      <c r="B6" s="2">
        <v>65</v>
      </c>
      <c r="C6" s="2">
        <v>60</v>
      </c>
      <c r="D6" s="2">
        <v>62</v>
      </c>
      <c r="E6" s="2">
        <v>63</v>
      </c>
      <c r="F6" s="2">
        <v>45</v>
      </c>
      <c r="G6" s="2">
        <v>70</v>
      </c>
      <c r="H6" s="2">
        <v>75</v>
      </c>
      <c r="I6" s="2">
        <v>70</v>
      </c>
      <c r="J6" s="2">
        <v>65</v>
      </c>
    </row>
    <row r="7" spans="1:10" x14ac:dyDescent="0.3">
      <c r="C7" s="8" t="s">
        <v>2</v>
      </c>
      <c r="D7" s="2">
        <f>COUNT(A6:J6)</f>
        <v>10</v>
      </c>
      <c r="E7" s="3" t="str">
        <f ca="1">_xlfn.FORMULATEXT(D7)</f>
        <v>=COUNT(A6:J6)</v>
      </c>
    </row>
    <row r="8" spans="1:10" x14ac:dyDescent="0.3">
      <c r="C8" s="8" t="s">
        <v>13</v>
      </c>
      <c r="D8" s="2">
        <v>60</v>
      </c>
      <c r="E8" s="3"/>
    </row>
    <row r="9" spans="1:10" x14ac:dyDescent="0.3">
      <c r="C9" s="8" t="s">
        <v>3</v>
      </c>
      <c r="D9" s="2">
        <f>AVERAGE(A6:J6)</f>
        <v>63</v>
      </c>
      <c r="E9" s="3" t="str">
        <f t="shared" ref="E9:E10" ca="1" si="0">_xlfn.FORMULATEXT(D9)</f>
        <v>=AVERAGE(A6:J6)</v>
      </c>
    </row>
    <row r="10" spans="1:10" x14ac:dyDescent="0.3">
      <c r="C10" s="8" t="s">
        <v>4</v>
      </c>
      <c r="D10" s="4">
        <f>_xlfn.STDEV.S(A6:J6)</f>
        <v>8.4852813742385695</v>
      </c>
      <c r="E10" s="3" t="str">
        <f t="shared" ca="1" si="0"/>
        <v>=STDEV.S(A6:J6)</v>
      </c>
    </row>
    <row r="11" spans="1:10" ht="15.5" x14ac:dyDescent="0.35">
      <c r="B11" s="1" t="s">
        <v>5</v>
      </c>
      <c r="D11"/>
      <c r="E11"/>
      <c r="F11"/>
      <c r="G11"/>
    </row>
    <row r="12" spans="1:10" ht="18" x14ac:dyDescent="0.45">
      <c r="B12" s="1" t="s">
        <v>21</v>
      </c>
      <c r="C12"/>
      <c r="D12"/>
      <c r="E12"/>
      <c r="F12"/>
      <c r="G12"/>
    </row>
    <row r="13" spans="1:10" ht="18" x14ac:dyDescent="0.45">
      <c r="B13" s="1" t="s">
        <v>22</v>
      </c>
      <c r="C13"/>
      <c r="D13"/>
      <c r="E13"/>
      <c r="F13"/>
      <c r="G13"/>
    </row>
    <row r="14" spans="1:10" ht="18" x14ac:dyDescent="0.45">
      <c r="B14" s="1" t="s">
        <v>6</v>
      </c>
      <c r="F14"/>
      <c r="G14"/>
    </row>
    <row r="15" spans="1:10" ht="15.5" x14ac:dyDescent="0.35">
      <c r="C15" s="8" t="s">
        <v>9</v>
      </c>
      <c r="D15" s="5">
        <f>D10/SQRT(D7)</f>
        <v>2.6832815729997472</v>
      </c>
      <c r="E15" s="3" t="str">
        <f ca="1">_xlfn.FORMULATEXT(D15)</f>
        <v>=D10/SQRT(D7)</v>
      </c>
      <c r="F15"/>
      <c r="G15"/>
    </row>
    <row r="16" spans="1:10" ht="18" x14ac:dyDescent="0.45">
      <c r="C16" s="8" t="s">
        <v>14</v>
      </c>
      <c r="D16" s="4">
        <f>(D9-D8)/D15</f>
        <v>1.1180339887498951</v>
      </c>
      <c r="E16" s="3" t="str">
        <f t="shared" ref="E16:E19" ca="1" si="1">_xlfn.FORMULATEXT(D16)</f>
        <v>=(D9-D8)/D15</v>
      </c>
      <c r="G16"/>
    </row>
    <row r="17" spans="2:7" ht="15.5" x14ac:dyDescent="0.35">
      <c r="C17" s="8" t="s">
        <v>10</v>
      </c>
      <c r="D17" s="6">
        <v>0.1</v>
      </c>
      <c r="E17" s="3"/>
      <c r="G17"/>
    </row>
    <row r="18" spans="2:7" x14ac:dyDescent="0.3">
      <c r="C18" s="8" t="s">
        <v>11</v>
      </c>
      <c r="D18" s="5">
        <f>1-D17</f>
        <v>0.9</v>
      </c>
      <c r="E18" s="3" t="str">
        <f t="shared" ca="1" si="1"/>
        <v>=1-D17</v>
      </c>
      <c r="F18" s="3"/>
      <c r="G18" s="3"/>
    </row>
    <row r="19" spans="2:7" x14ac:dyDescent="0.3">
      <c r="C19" s="8" t="s">
        <v>15</v>
      </c>
      <c r="D19" s="7">
        <f>D7-1</f>
        <v>9</v>
      </c>
      <c r="E19" s="3" t="str">
        <f t="shared" ca="1" si="1"/>
        <v>=D7-1</v>
      </c>
      <c r="F19" s="3"/>
      <c r="G19" s="3"/>
    </row>
    <row r="20" spans="2:7" ht="18" x14ac:dyDescent="0.45">
      <c r="C20" s="8" t="s">
        <v>16</v>
      </c>
      <c r="D20" s="4">
        <f>_xlfn.T.INV.2T(D17,D19)</f>
        <v>1.8331129326562374</v>
      </c>
      <c r="E20" s="3" t="str">
        <f ca="1">_xlfn.FORMULATEXT(D20)</f>
        <v>=T.INV.2T(D17,D19)</v>
      </c>
      <c r="F20"/>
      <c r="G20"/>
    </row>
    <row r="21" spans="2:7" ht="18" x14ac:dyDescent="0.45">
      <c r="B21" s="1" t="s">
        <v>26</v>
      </c>
      <c r="C21"/>
      <c r="D21"/>
      <c r="E21"/>
      <c r="F21"/>
      <c r="G21"/>
    </row>
    <row r="22" spans="2:7" ht="15.5" x14ac:dyDescent="0.35">
      <c r="B22" s="1" t="s">
        <v>23</v>
      </c>
      <c r="D22"/>
      <c r="E22"/>
      <c r="F22"/>
      <c r="G22"/>
    </row>
    <row r="24" spans="2:7" x14ac:dyDescent="0.3">
      <c r="C24" s="1" t="s">
        <v>24</v>
      </c>
    </row>
    <row r="25" spans="2:7" ht="15.5" x14ac:dyDescent="0.35">
      <c r="G25"/>
    </row>
  </sheetData>
  <printOptions headings="1" gridLines="1"/>
  <pageMargins left="0.7" right="0.7" top="0.75" bottom="0.75" header="0.3" footer="0.3"/>
  <pageSetup paperSize="9" scale="7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gautamkrishnaraj5@gmail.com</dc:creator>
  <cp:lastModifiedBy>Dell</cp:lastModifiedBy>
  <cp:lastPrinted>2025-01-03T05:23:55Z</cp:lastPrinted>
  <dcterms:created xsi:type="dcterms:W3CDTF">2025-01-03T04:29:24Z</dcterms:created>
  <dcterms:modified xsi:type="dcterms:W3CDTF">2025-01-04T10:15:23Z</dcterms:modified>
</cp:coreProperties>
</file>